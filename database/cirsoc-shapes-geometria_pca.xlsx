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erfiles-verificacion\database\"/>
    </mc:Choice>
  </mc:AlternateContent>
  <xr:revisionPtr revIDLastSave="0" documentId="13_ncr:1_{C2F60688-E3F2-4401-ADF1-E50211332F1E}" xr6:coauthVersionLast="47" xr6:coauthVersionMax="47" xr10:uidLastSave="{00000000-0000-0000-0000-000000000000}"/>
  <bookViews>
    <workbookView xWindow="-120" yWindow="-120" windowWidth="29040" windowHeight="15720" xr2:uid="{C08AFA35-A25A-4CF1-A643-3A8FDC4FDF0E}"/>
  </bookViews>
  <sheets>
    <sheet name="TABLA" sheetId="1" r:id="rId1"/>
    <sheet name="Sheet1" sheetId="3" r:id="rId2"/>
    <sheet name="Descripcion" sheetId="2" r:id="rId3"/>
  </sheets>
  <externalReferences>
    <externalReference r:id="rId4"/>
  </externalReferences>
  <definedNames>
    <definedName name="IPN">'[1]Datos perfiles'!$B$5:$B$27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6" i="3" l="1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175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3" i="3"/>
  <c r="H14" i="2"/>
</calcChain>
</file>

<file path=xl/sharedStrings.xml><?xml version="1.0" encoding="utf-8"?>
<sst xmlns="http://schemas.openxmlformats.org/spreadsheetml/2006/main" count="1232" uniqueCount="246">
  <si>
    <t>Tipo</t>
  </si>
  <si>
    <t>Designacion</t>
  </si>
  <si>
    <t>d</t>
  </si>
  <si>
    <r>
      <t>b</t>
    </r>
    <r>
      <rPr>
        <vertAlign val="subscript"/>
        <sz val="11"/>
        <color theme="1"/>
        <rFont val="Calibri"/>
        <family val="2"/>
        <scheme val="minor"/>
      </rPr>
      <t>f</t>
    </r>
  </si>
  <si>
    <r>
      <t>t</t>
    </r>
    <r>
      <rPr>
        <vertAlign val="subscript"/>
        <sz val="11"/>
        <color theme="1"/>
        <rFont val="Calibri"/>
        <family val="2"/>
        <scheme val="minor"/>
      </rPr>
      <t>f</t>
    </r>
  </si>
  <si>
    <r>
      <t>h</t>
    </r>
    <r>
      <rPr>
        <vertAlign val="subscript"/>
        <sz val="11"/>
        <color theme="1"/>
        <rFont val="Calibri"/>
        <family val="2"/>
        <scheme val="minor"/>
      </rPr>
      <t>w</t>
    </r>
  </si>
  <si>
    <r>
      <t>t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=r</t>
    </r>
    <r>
      <rPr>
        <vertAlign val="subscript"/>
        <sz val="11"/>
        <color theme="1"/>
        <rFont val="Calibri"/>
        <family val="2"/>
        <scheme val="minor"/>
      </rPr>
      <t>1</t>
    </r>
  </si>
  <si>
    <r>
      <t>r</t>
    </r>
    <r>
      <rPr>
        <vertAlign val="subscript"/>
        <sz val="11"/>
        <color theme="1"/>
        <rFont val="Calibri"/>
        <family val="2"/>
        <scheme val="minor"/>
      </rPr>
      <t>2</t>
    </r>
  </si>
  <si>
    <t>bf/2tf</t>
  </si>
  <si>
    <t>hw/tw</t>
  </si>
  <si>
    <t>Ag</t>
  </si>
  <si>
    <t>Peso</t>
  </si>
  <si>
    <r>
      <t>I</t>
    </r>
    <r>
      <rPr>
        <vertAlign val="subscript"/>
        <sz val="11"/>
        <color theme="1"/>
        <rFont val="Calibri"/>
        <family val="2"/>
        <scheme val="minor"/>
      </rPr>
      <t>x</t>
    </r>
  </si>
  <si>
    <r>
      <t>S</t>
    </r>
    <r>
      <rPr>
        <vertAlign val="subscript"/>
        <sz val="11"/>
        <color theme="1"/>
        <rFont val="Calibri"/>
        <family val="2"/>
        <scheme val="minor"/>
      </rPr>
      <t>x</t>
    </r>
  </si>
  <si>
    <r>
      <t>r</t>
    </r>
    <r>
      <rPr>
        <vertAlign val="subscript"/>
        <sz val="11"/>
        <color theme="1"/>
        <rFont val="Calibri"/>
        <family val="2"/>
        <scheme val="minor"/>
      </rPr>
      <t>x</t>
    </r>
  </si>
  <si>
    <r>
      <t>Q</t>
    </r>
    <r>
      <rPr>
        <vertAlign val="subscript"/>
        <sz val="11"/>
        <color theme="1"/>
        <rFont val="Calibri"/>
        <family val="2"/>
        <scheme val="minor"/>
      </rPr>
      <t>x</t>
    </r>
  </si>
  <si>
    <r>
      <t>Z</t>
    </r>
    <r>
      <rPr>
        <vertAlign val="subscript"/>
        <sz val="11"/>
        <color theme="1"/>
        <rFont val="Calibri"/>
        <family val="2"/>
        <scheme val="minor"/>
      </rPr>
      <t>x</t>
    </r>
  </si>
  <si>
    <r>
      <t>I</t>
    </r>
    <r>
      <rPr>
        <vertAlign val="subscript"/>
        <sz val="11"/>
        <color theme="1"/>
        <rFont val="Calibri"/>
        <family val="2"/>
        <scheme val="minor"/>
      </rPr>
      <t>y</t>
    </r>
  </si>
  <si>
    <r>
      <t>S</t>
    </r>
    <r>
      <rPr>
        <vertAlign val="subscript"/>
        <sz val="11"/>
        <color theme="1"/>
        <rFont val="Calibri"/>
        <family val="2"/>
        <scheme val="minor"/>
      </rPr>
      <t>y</t>
    </r>
  </si>
  <si>
    <r>
      <t>r</t>
    </r>
    <r>
      <rPr>
        <vertAlign val="subscript"/>
        <sz val="11"/>
        <color theme="1"/>
        <rFont val="Calibri"/>
        <family val="2"/>
        <scheme val="minor"/>
      </rPr>
      <t>y</t>
    </r>
  </si>
  <si>
    <r>
      <t>Q</t>
    </r>
    <r>
      <rPr>
        <vertAlign val="subscript"/>
        <sz val="11"/>
        <color theme="1"/>
        <rFont val="Calibri"/>
        <family val="2"/>
        <scheme val="minor"/>
      </rPr>
      <t>y</t>
    </r>
  </si>
  <si>
    <r>
      <t>1.5S</t>
    </r>
    <r>
      <rPr>
        <vertAlign val="subscript"/>
        <sz val="11"/>
        <color theme="1"/>
        <rFont val="Calibri"/>
        <family val="2"/>
        <scheme val="minor"/>
      </rPr>
      <t>y</t>
    </r>
  </si>
  <si>
    <r>
      <t>Z</t>
    </r>
    <r>
      <rPr>
        <vertAlign val="subscript"/>
        <sz val="11"/>
        <color theme="1"/>
        <rFont val="Calibri"/>
        <family val="2"/>
        <scheme val="minor"/>
      </rPr>
      <t>y</t>
    </r>
  </si>
  <si>
    <r>
      <t>w</t>
    </r>
    <r>
      <rPr>
        <vertAlign val="subscript"/>
        <sz val="11"/>
        <color theme="1"/>
        <rFont val="Calibri"/>
        <family val="2"/>
        <scheme val="minor"/>
      </rPr>
      <t>1</t>
    </r>
  </si>
  <si>
    <r>
      <t>d</t>
    </r>
    <r>
      <rPr>
        <vertAlign val="subscript"/>
        <sz val="11"/>
        <color theme="1"/>
        <rFont val="Calibri"/>
        <family val="2"/>
        <scheme val="minor"/>
      </rPr>
      <t>1</t>
    </r>
  </si>
  <si>
    <r>
      <t>w</t>
    </r>
    <r>
      <rPr>
        <vertAlign val="subscript"/>
        <sz val="11"/>
        <color theme="1"/>
        <rFont val="Calibri"/>
        <family val="2"/>
        <scheme val="minor"/>
      </rPr>
      <t>4</t>
    </r>
  </si>
  <si>
    <r>
      <t>t</t>
    </r>
    <r>
      <rPr>
        <vertAlign val="subscript"/>
        <sz val="11"/>
        <color theme="1"/>
        <rFont val="Calibri"/>
        <family val="2"/>
        <scheme val="minor"/>
      </rPr>
      <t>1</t>
    </r>
  </si>
  <si>
    <t>J</t>
  </si>
  <si>
    <t>Cw</t>
  </si>
  <si>
    <t>X1</t>
  </si>
  <si>
    <t>X2 (10)-5</t>
  </si>
  <si>
    <t>IPN</t>
  </si>
  <si>
    <t>IPB</t>
  </si>
  <si>
    <t>-</t>
  </si>
  <si>
    <t>IPBl</t>
  </si>
  <si>
    <t>IPBv</t>
  </si>
  <si>
    <t>IPE</t>
  </si>
  <si>
    <t>W</t>
  </si>
  <si>
    <t>HP</t>
  </si>
  <si>
    <t>M</t>
  </si>
  <si>
    <t>Descripcion</t>
  </si>
  <si>
    <t>unidad</t>
  </si>
  <si>
    <t>Altura</t>
  </si>
  <si>
    <t>mm</t>
  </si>
  <si>
    <t>Ancho</t>
  </si>
  <si>
    <t>Espesor ala</t>
  </si>
  <si>
    <t>Altura alma</t>
  </si>
  <si>
    <t>Espesor alma</t>
  </si>
  <si>
    <t>Radio de acuerdo ala</t>
  </si>
  <si>
    <t>Esbeltez ala</t>
  </si>
  <si>
    <t>Esbeltez alma</t>
  </si>
  <si>
    <t>Area</t>
  </si>
  <si>
    <r>
      <t>cm</t>
    </r>
    <r>
      <rPr>
        <vertAlign val="superscript"/>
        <sz val="11"/>
        <color theme="1"/>
        <rFont val="Calibri"/>
        <family val="2"/>
        <scheme val="minor"/>
      </rPr>
      <t>2</t>
    </r>
  </si>
  <si>
    <t>kg/m</t>
  </si>
  <si>
    <t>Inercia</t>
  </si>
  <si>
    <r>
      <t>cm</t>
    </r>
    <r>
      <rPr>
        <vertAlign val="superscript"/>
        <sz val="11"/>
        <color theme="1"/>
        <rFont val="Calibri"/>
        <family val="2"/>
        <scheme val="minor"/>
      </rPr>
      <t>4</t>
    </r>
  </si>
  <si>
    <t>Modulo resistente elástico</t>
  </si>
  <si>
    <r>
      <t>cm</t>
    </r>
    <r>
      <rPr>
        <vertAlign val="superscript"/>
        <sz val="11"/>
        <color theme="1"/>
        <rFont val="Calibri"/>
        <family val="2"/>
        <scheme val="minor"/>
      </rPr>
      <t>3</t>
    </r>
  </si>
  <si>
    <t>Radio de giro</t>
  </si>
  <si>
    <t>cm</t>
  </si>
  <si>
    <t>Momento estático de media seccion</t>
  </si>
  <si>
    <t>Módulo plástico de la sección</t>
  </si>
  <si>
    <t>Límite módulo resistente elástico</t>
  </si>
  <si>
    <t>Distancia entre agujeros</t>
  </si>
  <si>
    <t>Diámetro agujero</t>
  </si>
  <si>
    <t>Distancia a borde</t>
  </si>
  <si>
    <t>Espesor ala de arranque</t>
  </si>
  <si>
    <t>Averiguar</t>
  </si>
  <si>
    <t>Modulo de torsion</t>
  </si>
  <si>
    <t>Modulo de alabeo</t>
  </si>
  <si>
    <r>
      <t>cm</t>
    </r>
    <r>
      <rPr>
        <vertAlign val="superscript"/>
        <sz val="11"/>
        <color theme="1"/>
        <rFont val="Calibri"/>
        <family val="2"/>
        <scheme val="minor"/>
      </rPr>
      <t>6</t>
    </r>
  </si>
  <si>
    <t>Factor de pandeo</t>
  </si>
  <si>
    <t>Mpa</t>
  </si>
  <si>
    <r>
      <t>Mpa</t>
    </r>
    <r>
      <rPr>
        <vertAlign val="superscript"/>
        <sz val="11"/>
        <color theme="1"/>
        <rFont val="Calibri"/>
        <family val="2"/>
        <scheme val="minor"/>
      </rPr>
      <t>-2</t>
    </r>
  </si>
  <si>
    <t>UPN</t>
  </si>
  <si>
    <t>t2</t>
  </si>
  <si>
    <t>Lp_alma</t>
  </si>
  <si>
    <t>Lr_alma</t>
  </si>
  <si>
    <t>Lp_ala</t>
  </si>
  <si>
    <t>Lr_ala</t>
  </si>
  <si>
    <t>C</t>
  </si>
  <si>
    <t>x</t>
  </si>
  <si>
    <t>eo</t>
  </si>
  <si>
    <t>xp</t>
  </si>
  <si>
    <r>
      <t>b</t>
    </r>
    <r>
      <rPr>
        <b/>
        <vertAlign val="subscript"/>
        <sz val="11"/>
        <color theme="1"/>
        <rFont val="Calibri"/>
        <family val="2"/>
        <scheme val="minor"/>
      </rPr>
      <t>f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</si>
  <si>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f</t>
    </r>
  </si>
  <si>
    <r>
      <t>h</t>
    </r>
    <r>
      <rPr>
        <b/>
        <vertAlign val="subscript"/>
        <sz val="11"/>
        <color theme="1"/>
        <rFont val="Calibri"/>
        <family val="2"/>
        <scheme val="minor"/>
      </rPr>
      <t>w</t>
    </r>
  </si>
  <si>
    <r>
      <t>I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</si>
  <si>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</si>
  <si>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</si>
  <si>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</si>
  <si>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Z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</si>
  <si>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I</t>
    </r>
    <r>
      <rPr>
        <b/>
        <vertAlign val="subscript"/>
        <sz val="11"/>
        <color theme="1"/>
        <rFont val="Calibri"/>
        <family val="2"/>
        <scheme val="minor"/>
      </rPr>
      <t>y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</si>
  <si>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y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</si>
  <si>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y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</si>
  <si>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y</t>
    </r>
  </si>
  <si>
    <r>
      <t>Z</t>
    </r>
    <r>
      <rPr>
        <b/>
        <vertAlign val="subscript"/>
        <sz val="11"/>
        <color theme="1"/>
        <rFont val="Calibri"/>
        <family val="2"/>
        <scheme val="minor"/>
      </rPr>
      <t>y</t>
    </r>
  </si>
  <si>
    <t>MC</t>
  </si>
  <si>
    <t>t</t>
  </si>
  <si>
    <t>r</t>
  </si>
  <si>
    <t>r1</t>
  </si>
  <si>
    <t>b/t</t>
  </si>
  <si>
    <t>ex-ey</t>
  </si>
  <si>
    <t>w</t>
  </si>
  <si>
    <t>v1</t>
  </si>
  <si>
    <r>
      <t>I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-Iy</t>
    </r>
  </si>
  <si>
    <r>
      <t>S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-Sy</t>
    </r>
  </si>
  <si>
    <r>
      <t>r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-ry</t>
    </r>
  </si>
  <si>
    <t>Iv</t>
  </si>
  <si>
    <t>Sv</t>
  </si>
  <si>
    <t>iv</t>
  </si>
  <si>
    <t>Iz</t>
  </si>
  <si>
    <t>iz</t>
  </si>
  <si>
    <t>L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</si>
  <si>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w-</t>
    </r>
    <r>
      <rPr>
        <b/>
        <sz val="11"/>
        <color theme="1"/>
        <rFont val="Calibri"/>
        <family val="2"/>
        <scheme val="minor"/>
      </rPr>
      <t>r</t>
    </r>
    <r>
      <rPr>
        <b/>
        <vertAlign val="subscript"/>
        <sz val="11"/>
        <color theme="1"/>
        <rFont val="Calibri"/>
        <family val="2"/>
        <scheme val="minor"/>
      </rPr>
      <t>1</t>
    </r>
  </si>
  <si>
    <t>D</t>
  </si>
  <si>
    <t>p</t>
  </si>
  <si>
    <t>g</t>
  </si>
  <si>
    <t>I</t>
  </si>
  <si>
    <t>S</t>
  </si>
  <si>
    <t>Z</t>
  </si>
  <si>
    <t>[mm]</t>
  </si>
  <si>
    <t>[m2/m]</t>
  </si>
  <si>
    <t>[cm222]</t>
  </si>
  <si>
    <t>[Kg/m]</t>
  </si>
  <si>
    <t>[cm4]</t>
  </si>
  <si>
    <t>[cm3]</t>
  </si>
  <si>
    <t>[cm]</t>
  </si>
  <si>
    <t>T</t>
  </si>
  <si>
    <t>d/tw</t>
  </si>
  <si>
    <t>dx</t>
  </si>
  <si>
    <t>PERF</t>
  </si>
  <si>
    <t>area_ext</t>
  </si>
  <si>
    <t>B</t>
  </si>
  <si>
    <t>Ix=Iy</t>
  </si>
  <si>
    <t>Sx=Sy</t>
  </si>
  <si>
    <t>rx=ry</t>
  </si>
  <si>
    <t>Zx=Zy</t>
  </si>
  <si>
    <t>[cm2]</t>
  </si>
  <si>
    <t>TUBO CUAD.</t>
  </si>
  <si>
    <t>TUBO CIRC.</t>
  </si>
  <si>
    <t>TUBO RECT.</t>
  </si>
  <si>
    <t>H</t>
  </si>
  <si>
    <t>Ix</t>
  </si>
  <si>
    <t>Sx</t>
  </si>
  <si>
    <t>rx</t>
  </si>
  <si>
    <t>Zx</t>
  </si>
  <si>
    <t>Iy</t>
  </si>
  <si>
    <t>Sy</t>
  </si>
  <si>
    <t>ry</t>
  </si>
  <si>
    <t>Zy</t>
  </si>
  <si>
    <t>20 x 10 x 0,7</t>
  </si>
  <si>
    <t>20 x 10 x 0,9</t>
  </si>
  <si>
    <t>25 x 15 x 0,9</t>
  </si>
  <si>
    <t>25 x 15 x 1,25</t>
  </si>
  <si>
    <t>30 x 20 x 0,9</t>
  </si>
  <si>
    <t>30 x 20 x 1,25</t>
  </si>
  <si>
    <t>30 x 20 x 1,6</t>
  </si>
  <si>
    <t>40 x 20 x 0,9</t>
  </si>
  <si>
    <t>40 x 20 x 1,25</t>
  </si>
  <si>
    <t>40 x 20 x 1,6</t>
  </si>
  <si>
    <t>40 x 30 x 1,25</t>
  </si>
  <si>
    <t>40 x 30 x 1,6</t>
  </si>
  <si>
    <t>40 x 30 x 2</t>
  </si>
  <si>
    <t>50 x 30 x 1,25</t>
  </si>
  <si>
    <t>50 x 30 x 1,6</t>
  </si>
  <si>
    <t>50 x 30 x 2</t>
  </si>
  <si>
    <t>50 x 30 x 2,5</t>
  </si>
  <si>
    <t>60 x 30 x 1,6</t>
  </si>
  <si>
    <t>60 x 30 x 2</t>
  </si>
  <si>
    <t>60 x 30 x 2,5</t>
  </si>
  <si>
    <t>70 x 30 x 1,6</t>
  </si>
  <si>
    <t>70 x 30 x 2</t>
  </si>
  <si>
    <t>70 x 30 x 2,5</t>
  </si>
  <si>
    <t>50 x 40 x 1,6</t>
  </si>
  <si>
    <t>50 x 40 x 2</t>
  </si>
  <si>
    <t>50 x 40 x 2,5</t>
  </si>
  <si>
    <t>60 x 40 x 1,6</t>
  </si>
  <si>
    <t>60 x 40 x 2</t>
  </si>
  <si>
    <t>60 x 40 x 2,5</t>
  </si>
  <si>
    <t>60 x 40 x 3,2</t>
  </si>
  <si>
    <t>80 x 40 x 1,6</t>
  </si>
  <si>
    <t>80 x 40 x 2</t>
  </si>
  <si>
    <t>80 x 40 x 2,5</t>
  </si>
  <si>
    <t>80 x 40 x 3,2</t>
  </si>
  <si>
    <t>80 x 40 x 4</t>
  </si>
  <si>
    <t>100 x 40 x 2</t>
  </si>
  <si>
    <t>100 x 40 x 2,5</t>
  </si>
  <si>
    <t>100 x 40 x 3,2</t>
  </si>
  <si>
    <t>100 x 40 x 4</t>
  </si>
  <si>
    <t>120 x 40 x 2</t>
  </si>
  <si>
    <t>120 x 40 x 2,5</t>
  </si>
  <si>
    <t>120 x 40 x 3,2</t>
  </si>
  <si>
    <t>120 x 40 x 4</t>
  </si>
  <si>
    <t>140 x 40 x 3,2</t>
  </si>
  <si>
    <t>140 x 40 x 4</t>
  </si>
  <si>
    <t>140 x 40 x 4,75</t>
  </si>
  <si>
    <t>140 x 40 x 6,35</t>
  </si>
  <si>
    <t>70 x 50 x 2,5</t>
  </si>
  <si>
    <t>70 x 50 x 3,2</t>
  </si>
  <si>
    <t>70 x 50 x 4</t>
  </si>
  <si>
    <t>150 x 50 x 3,2</t>
  </si>
  <si>
    <t>150 x 50 x 4</t>
  </si>
  <si>
    <t>150 x 50 x 4,75</t>
  </si>
  <si>
    <t>150 x 50 x 6,35</t>
  </si>
  <si>
    <t>80 x 60 x 2,5</t>
  </si>
  <si>
    <t>80 x 60 x 3,2</t>
  </si>
  <si>
    <t>80 x 60 x 4</t>
  </si>
  <si>
    <t>100 x 60 x 3,2</t>
  </si>
  <si>
    <t>100 x 60 x 4</t>
  </si>
  <si>
    <t>100 x 60 x 4,75</t>
  </si>
  <si>
    <t>120 x 60 x 3,2</t>
  </si>
  <si>
    <t>120 x 60 x 4</t>
  </si>
  <si>
    <t>120 x 60 x 4,75</t>
  </si>
  <si>
    <t>120 x 60 x 6,35</t>
  </si>
  <si>
    <t>150 x 70 x 3,2</t>
  </si>
  <si>
    <t>150 x 70 x 4</t>
  </si>
  <si>
    <t>150 x 70 x 4,75</t>
  </si>
  <si>
    <t>150 x 70 x 6,35</t>
  </si>
  <si>
    <t>100 x 80 x 4</t>
  </si>
  <si>
    <t>100 x 80 x 4,75</t>
  </si>
  <si>
    <t>100 x 80 x 6,35</t>
  </si>
  <si>
    <t>120 x 80 x 4</t>
  </si>
  <si>
    <t>120 x 80 x 4,75</t>
  </si>
  <si>
    <t>120 x 80 x 6,35</t>
  </si>
  <si>
    <t>140 x 80 x 4</t>
  </si>
  <si>
    <t>140 x 80 x 4,75</t>
  </si>
  <si>
    <t>140 x 80 x 6,35</t>
  </si>
  <si>
    <t>140 x 100 x 3,2</t>
  </si>
  <si>
    <t>140 x 100 x 4</t>
  </si>
  <si>
    <t>140 x 100 x 4,75</t>
  </si>
  <si>
    <t>140 x 100 x 6,35</t>
  </si>
  <si>
    <t>180 x 100 x 3,2</t>
  </si>
  <si>
    <t>180 x 100 x 4</t>
  </si>
  <si>
    <t>180 x 100 x 4,75</t>
  </si>
  <si>
    <t>180 x 100 x 6,35</t>
  </si>
  <si>
    <t>200 x 100 x 4</t>
  </si>
  <si>
    <t>200 x 100 x 5</t>
  </si>
  <si>
    <t>200 x 100 x 6</t>
  </si>
  <si>
    <t>200 x 100 x 8</t>
  </si>
  <si>
    <t>200 x 100 x 10</t>
  </si>
  <si>
    <t>250 x 100 x 5</t>
  </si>
  <si>
    <t>250 x 100 x 6</t>
  </si>
  <si>
    <t>250 x 100 x 8</t>
  </si>
  <si>
    <t>250 x 100 x 10</t>
  </si>
  <si>
    <t>250 x 100 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</si>
</sst>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7">
    <xf numFmtId="0" fontId="0" fillId="0" borderId="0" xfId="0"/>
    <xf numFmtId="0" fontId="0" fillId="2" borderId="2" xfId="1" applyFont="1" applyBorder="1" applyAlignment="1">
      <alignment horizontal="center"/>
    </xf>
    <xf numFmtId="0" fontId="0" fillId="2" borderId="0" xfId="1" applyFont="1" applyBorder="1" applyAlignment="1">
      <alignment horizontal="center"/>
    </xf>
    <xf numFmtId="0" fontId="0" fillId="2" borderId="2" xfId="1" applyFont="1" applyBorder="1" applyAlignment="1">
      <alignment horizontal="center" vertical="center"/>
    </xf>
    <xf numFmtId="0" fontId="0" fillId="2" borderId="3" xfId="1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2" borderId="2" xfId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4" fillId="2" borderId="4" xfId="1" applyFont="1" applyBorder="1" applyAlignment="1">
      <alignment horizontal="center" vertical="center"/>
    </xf>
    <xf numFmtId="0" fontId="4" fillId="2" borderId="5" xfId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right"/>
    </xf>
    <xf numFmtId="3" fontId="0" fillId="0" borderId="0" xfId="0" applyNumberFormat="1"/>
    <xf numFmtId="164" fontId="0" fillId="0" borderId="0" xfId="0" applyNumberForma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gust/Desktop/Calculo_rapido_flexion_metalicas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EXION"/>
      <sheetName val="GRAFICO"/>
      <sheetName val="Datos perfiles"/>
      <sheetName val="Sheet1"/>
    </sheetNames>
    <sheetDataSet>
      <sheetData sheetId="0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C280-589B-4A0A-9E63-8D2C52B28E53}">
  <dimension ref="A1:AN880"/>
  <sheetViews>
    <sheetView tabSelected="1" zoomScale="85" zoomScaleNormal="85" workbookViewId="0">
      <pane xSplit="1" ySplit="1" topLeftCell="B456" activePane="bottomRight" state="frozen"/>
      <selection pane="topRight" activeCell="C1" sqref="C1"/>
      <selection pane="bottomLeft" activeCell="A2" sqref="A2"/>
      <selection pane="bottomRight" activeCell="K467" sqref="K467"/>
    </sheetView>
  </sheetViews>
  <sheetFormatPr defaultRowHeight="15" x14ac:dyDescent="0.25"/>
  <cols>
    <col min="1" max="1" width="12.7109375" customWidth="1"/>
    <col min="3" max="3" width="9.140625" customWidth="1"/>
    <col min="4" max="4" width="14.28515625" customWidth="1"/>
    <col min="9" max="9" width="11.5703125" customWidth="1"/>
    <col min="20" max="20" width="12.5703125" customWidth="1"/>
  </cols>
  <sheetData>
    <row r="1" spans="1:40" ht="18" x14ac:dyDescent="0.25">
      <c r="A1" s="8" t="s">
        <v>0</v>
      </c>
      <c r="B1" s="12" t="s">
        <v>2</v>
      </c>
      <c r="C1" s="7" t="s">
        <v>84</v>
      </c>
      <c r="D1" s="7" t="s">
        <v>85</v>
      </c>
      <c r="E1" s="7" t="s">
        <v>86</v>
      </c>
      <c r="F1" s="7" t="s">
        <v>114</v>
      </c>
      <c r="G1" s="12" t="s">
        <v>10</v>
      </c>
      <c r="H1" s="13" t="s">
        <v>11</v>
      </c>
      <c r="I1" s="12" t="s">
        <v>87</v>
      </c>
      <c r="J1" s="7" t="s">
        <v>88</v>
      </c>
      <c r="K1" s="7" t="s">
        <v>89</v>
      </c>
      <c r="L1" s="7" t="s">
        <v>90</v>
      </c>
      <c r="M1" s="13" t="s">
        <v>91</v>
      </c>
      <c r="N1" s="12" t="s">
        <v>92</v>
      </c>
      <c r="O1" s="7" t="s">
        <v>93</v>
      </c>
      <c r="P1" s="7" t="s">
        <v>94</v>
      </c>
      <c r="Q1" s="7" t="s">
        <v>95</v>
      </c>
      <c r="R1" s="13" t="s">
        <v>96</v>
      </c>
      <c r="S1" s="12" t="s">
        <v>27</v>
      </c>
      <c r="T1" s="7" t="s">
        <v>28</v>
      </c>
      <c r="U1" s="12" t="s">
        <v>81</v>
      </c>
      <c r="V1" s="7" t="s">
        <v>82</v>
      </c>
      <c r="W1" s="13" t="s">
        <v>83</v>
      </c>
      <c r="X1" s="3" t="s">
        <v>99</v>
      </c>
      <c r="Y1" s="3" t="s">
        <v>100</v>
      </c>
      <c r="Z1" s="3" t="s">
        <v>101</v>
      </c>
      <c r="AA1" s="3" t="s">
        <v>102</v>
      </c>
      <c r="AB1" s="3" t="s">
        <v>103</v>
      </c>
      <c r="AC1" s="3" t="s">
        <v>104</v>
      </c>
      <c r="AD1" s="3" t="s">
        <v>105</v>
      </c>
      <c r="AE1" s="3" t="s">
        <v>106</v>
      </c>
      <c r="AF1" s="3" t="s">
        <v>107</v>
      </c>
      <c r="AG1" s="3" t="s">
        <v>108</v>
      </c>
      <c r="AH1" s="3" t="s">
        <v>109</v>
      </c>
      <c r="AI1" s="3" t="s">
        <v>110</v>
      </c>
      <c r="AJ1" s="3" t="s">
        <v>111</v>
      </c>
      <c r="AK1" s="3" t="s">
        <v>112</v>
      </c>
      <c r="AL1" s="4" t="s">
        <v>129</v>
      </c>
      <c r="AM1" s="4" t="s">
        <v>130</v>
      </c>
      <c r="AN1" t="s">
        <v>132</v>
      </c>
    </row>
    <row r="2" spans="1:40" x14ac:dyDescent="0.25">
      <c r="A2" s="9" t="s">
        <v>31</v>
      </c>
      <c r="B2" s="14">
        <v>80</v>
      </c>
      <c r="C2" s="10">
        <v>42</v>
      </c>
      <c r="D2" s="11">
        <v>5.9</v>
      </c>
      <c r="E2" s="11">
        <v>59</v>
      </c>
      <c r="F2" s="11">
        <v>3.9</v>
      </c>
      <c r="G2" s="18">
        <v>7.57</v>
      </c>
      <c r="H2" s="15">
        <v>5.94</v>
      </c>
      <c r="I2" s="18">
        <v>77.8</v>
      </c>
      <c r="J2" s="11">
        <v>19.5</v>
      </c>
      <c r="K2" s="11">
        <v>3.2</v>
      </c>
      <c r="L2" s="11">
        <v>11.4</v>
      </c>
      <c r="M2" s="15">
        <v>22.8</v>
      </c>
      <c r="N2" s="18">
        <v>6.29</v>
      </c>
      <c r="O2" s="11">
        <v>3</v>
      </c>
      <c r="P2" s="11">
        <v>0.91</v>
      </c>
      <c r="Q2" s="11">
        <v>2.46</v>
      </c>
      <c r="R2" s="15">
        <v>4.93</v>
      </c>
      <c r="S2" s="18">
        <v>0.71</v>
      </c>
      <c r="T2" s="11">
        <v>87.5</v>
      </c>
      <c r="U2" s="16"/>
      <c r="V2" s="9"/>
      <c r="W2" s="17"/>
    </row>
    <row r="3" spans="1:40" x14ac:dyDescent="0.25">
      <c r="A3" s="9" t="s">
        <v>31</v>
      </c>
      <c r="B3" s="14">
        <v>100</v>
      </c>
      <c r="C3" s="10">
        <v>50</v>
      </c>
      <c r="D3" s="11">
        <v>6.8</v>
      </c>
      <c r="E3" s="11">
        <v>75</v>
      </c>
      <c r="F3" s="11">
        <v>4.5</v>
      </c>
      <c r="G3" s="18">
        <v>10.6</v>
      </c>
      <c r="H3" s="15">
        <v>8.34</v>
      </c>
      <c r="I3" s="18">
        <v>171</v>
      </c>
      <c r="J3" s="11">
        <v>34.200000000000003</v>
      </c>
      <c r="K3" s="11">
        <v>4.01</v>
      </c>
      <c r="L3" s="11">
        <v>19.899999999999999</v>
      </c>
      <c r="M3" s="15">
        <v>39.799999999999997</v>
      </c>
      <c r="N3" s="18">
        <v>12.2</v>
      </c>
      <c r="O3" s="11">
        <v>4.88</v>
      </c>
      <c r="P3" s="11">
        <v>1.07</v>
      </c>
      <c r="Q3" s="11">
        <v>4.0199999999999996</v>
      </c>
      <c r="R3" s="15">
        <v>8.0399999999999991</v>
      </c>
      <c r="S3" s="18">
        <v>1.31</v>
      </c>
      <c r="T3" s="11">
        <v>268</v>
      </c>
      <c r="U3" s="16"/>
      <c r="V3" s="9"/>
      <c r="W3" s="17"/>
    </row>
    <row r="4" spans="1:40" x14ac:dyDescent="0.25">
      <c r="A4" s="9" t="s">
        <v>31</v>
      </c>
      <c r="B4" s="14">
        <v>120</v>
      </c>
      <c r="C4" s="10">
        <v>58</v>
      </c>
      <c r="D4" s="11">
        <v>7.7</v>
      </c>
      <c r="E4" s="11">
        <v>92</v>
      </c>
      <c r="F4" s="11">
        <v>5.0999999999999996</v>
      </c>
      <c r="G4" s="18">
        <v>14.2</v>
      </c>
      <c r="H4" s="15">
        <v>11.1</v>
      </c>
      <c r="I4" s="18">
        <v>328</v>
      </c>
      <c r="J4" s="11">
        <v>54.7</v>
      </c>
      <c r="K4" s="11">
        <v>4.8099999999999996</v>
      </c>
      <c r="L4" s="11">
        <v>31.8</v>
      </c>
      <c r="M4" s="15">
        <v>63.6</v>
      </c>
      <c r="N4" s="18">
        <v>21.5</v>
      </c>
      <c r="O4" s="11">
        <v>7.41</v>
      </c>
      <c r="P4" s="11">
        <v>1.23</v>
      </c>
      <c r="Q4" s="11">
        <v>6.12</v>
      </c>
      <c r="R4" s="15">
        <v>12.24</v>
      </c>
      <c r="S4" s="18">
        <v>2.23</v>
      </c>
      <c r="T4" s="11">
        <v>685</v>
      </c>
      <c r="U4" s="16"/>
      <c r="V4" s="9"/>
      <c r="W4" s="17"/>
    </row>
    <row r="5" spans="1:40" x14ac:dyDescent="0.25">
      <c r="A5" s="9" t="s">
        <v>31</v>
      </c>
      <c r="B5" s="14">
        <v>140</v>
      </c>
      <c r="C5" s="10">
        <v>66</v>
      </c>
      <c r="D5" s="11">
        <v>8.6</v>
      </c>
      <c r="E5" s="11">
        <v>109</v>
      </c>
      <c r="F5" s="11">
        <v>5.7</v>
      </c>
      <c r="G5" s="18">
        <v>18.2</v>
      </c>
      <c r="H5" s="15">
        <v>14.3</v>
      </c>
      <c r="I5" s="18">
        <v>573</v>
      </c>
      <c r="J5" s="11">
        <v>81.900000000000006</v>
      </c>
      <c r="K5" s="11">
        <v>5.61</v>
      </c>
      <c r="L5" s="11">
        <v>47.7</v>
      </c>
      <c r="M5" s="15">
        <v>95.4</v>
      </c>
      <c r="N5" s="18">
        <v>35.200000000000003</v>
      </c>
      <c r="O5" s="11">
        <v>10.7</v>
      </c>
      <c r="P5" s="11">
        <v>1.4</v>
      </c>
      <c r="Q5" s="11">
        <v>8.85</v>
      </c>
      <c r="R5" s="15">
        <v>17.7</v>
      </c>
      <c r="S5" s="18">
        <v>3.56</v>
      </c>
      <c r="T5" s="11">
        <v>1540</v>
      </c>
      <c r="U5" s="16"/>
      <c r="V5" s="9"/>
      <c r="W5" s="17"/>
    </row>
    <row r="6" spans="1:40" x14ac:dyDescent="0.25">
      <c r="A6" s="9" t="s">
        <v>31</v>
      </c>
      <c r="B6" s="14">
        <v>160</v>
      </c>
      <c r="C6" s="10">
        <v>74</v>
      </c>
      <c r="D6" s="11">
        <v>9.5</v>
      </c>
      <c r="E6" s="11">
        <v>125</v>
      </c>
      <c r="F6" s="11">
        <v>6.3</v>
      </c>
      <c r="G6" s="18">
        <v>22.8</v>
      </c>
      <c r="H6" s="15">
        <v>17.899999999999999</v>
      </c>
      <c r="I6" s="18">
        <v>935</v>
      </c>
      <c r="J6" s="11">
        <v>117</v>
      </c>
      <c r="K6" s="11">
        <v>6.4</v>
      </c>
      <c r="L6" s="11">
        <v>68</v>
      </c>
      <c r="M6" s="15">
        <v>136</v>
      </c>
      <c r="N6" s="18">
        <v>54.7</v>
      </c>
      <c r="O6" s="11">
        <v>14.8</v>
      </c>
      <c r="P6" s="11">
        <v>1.55</v>
      </c>
      <c r="Q6" s="11">
        <v>12.28</v>
      </c>
      <c r="R6" s="15">
        <v>24.55</v>
      </c>
      <c r="S6" s="18">
        <v>5.4</v>
      </c>
      <c r="T6" s="11">
        <v>3138</v>
      </c>
      <c r="U6" s="16"/>
      <c r="V6" s="9"/>
      <c r="W6" s="17"/>
    </row>
    <row r="7" spans="1:40" x14ac:dyDescent="0.25">
      <c r="A7" s="9" t="s">
        <v>31</v>
      </c>
      <c r="B7" s="14">
        <v>180</v>
      </c>
      <c r="C7" s="10">
        <v>82</v>
      </c>
      <c r="D7" s="11">
        <v>10.4</v>
      </c>
      <c r="E7" s="11">
        <v>142</v>
      </c>
      <c r="F7" s="11">
        <v>6.9</v>
      </c>
      <c r="G7" s="18">
        <v>27.9</v>
      </c>
      <c r="H7" s="15">
        <v>21.9</v>
      </c>
      <c r="I7" s="18">
        <v>1450</v>
      </c>
      <c r="J7" s="11">
        <v>161</v>
      </c>
      <c r="K7" s="11">
        <v>7.2</v>
      </c>
      <c r="L7" s="11">
        <v>93.4</v>
      </c>
      <c r="M7" s="15">
        <v>187</v>
      </c>
      <c r="N7" s="18">
        <v>81.3</v>
      </c>
      <c r="O7" s="11">
        <v>19.8</v>
      </c>
      <c r="P7" s="11">
        <v>1.71</v>
      </c>
      <c r="Q7" s="11">
        <v>16.5</v>
      </c>
      <c r="R7" s="15">
        <v>33</v>
      </c>
      <c r="S7" s="18">
        <v>7.89</v>
      </c>
      <c r="T7" s="11">
        <v>5924</v>
      </c>
      <c r="U7" s="16"/>
      <c r="V7" s="9"/>
      <c r="W7" s="17"/>
    </row>
    <row r="8" spans="1:40" x14ac:dyDescent="0.25">
      <c r="A8" s="9" t="s">
        <v>31</v>
      </c>
      <c r="B8" s="14">
        <v>200</v>
      </c>
      <c r="C8" s="10">
        <v>90</v>
      </c>
      <c r="D8" s="11">
        <v>11.3</v>
      </c>
      <c r="E8" s="11">
        <v>159</v>
      </c>
      <c r="F8" s="11">
        <v>7.5</v>
      </c>
      <c r="G8" s="18">
        <v>33.4</v>
      </c>
      <c r="H8" s="15">
        <v>26.2</v>
      </c>
      <c r="I8" s="18">
        <v>2140</v>
      </c>
      <c r="J8" s="11">
        <v>214</v>
      </c>
      <c r="K8" s="11">
        <v>8</v>
      </c>
      <c r="L8" s="11">
        <v>125</v>
      </c>
      <c r="M8" s="15">
        <v>250</v>
      </c>
      <c r="N8" s="18">
        <v>117</v>
      </c>
      <c r="O8" s="11">
        <v>26</v>
      </c>
      <c r="P8" s="11">
        <v>1.87</v>
      </c>
      <c r="Q8" s="11">
        <v>21.58</v>
      </c>
      <c r="R8" s="15">
        <v>43.16</v>
      </c>
      <c r="S8" s="18">
        <v>11.2</v>
      </c>
      <c r="T8" s="11">
        <v>10520</v>
      </c>
      <c r="U8" s="16"/>
      <c r="V8" s="9"/>
      <c r="W8" s="17"/>
    </row>
    <row r="9" spans="1:40" x14ac:dyDescent="0.25">
      <c r="A9" s="9" t="s">
        <v>31</v>
      </c>
      <c r="B9" s="14">
        <v>220</v>
      </c>
      <c r="C9" s="10">
        <v>98</v>
      </c>
      <c r="D9" s="11">
        <v>12.2</v>
      </c>
      <c r="E9" s="11">
        <v>176</v>
      </c>
      <c r="F9" s="11">
        <v>8.1</v>
      </c>
      <c r="G9" s="18">
        <v>39.5</v>
      </c>
      <c r="H9" s="15">
        <v>31.1</v>
      </c>
      <c r="I9" s="18">
        <v>3060</v>
      </c>
      <c r="J9" s="11">
        <v>278</v>
      </c>
      <c r="K9" s="11">
        <v>8.8000000000000007</v>
      </c>
      <c r="L9" s="11">
        <v>162</v>
      </c>
      <c r="M9" s="15">
        <v>324</v>
      </c>
      <c r="N9" s="18">
        <v>162</v>
      </c>
      <c r="O9" s="11">
        <v>33.1</v>
      </c>
      <c r="P9" s="11">
        <v>2.02</v>
      </c>
      <c r="Q9" s="11">
        <v>27.61</v>
      </c>
      <c r="R9" s="15">
        <v>55.21</v>
      </c>
      <c r="S9" s="18">
        <v>15.3</v>
      </c>
      <c r="T9" s="11">
        <v>17760</v>
      </c>
      <c r="U9" s="16"/>
      <c r="V9" s="9"/>
      <c r="W9" s="17"/>
    </row>
    <row r="10" spans="1:40" x14ac:dyDescent="0.25">
      <c r="A10" s="9" t="s">
        <v>31</v>
      </c>
      <c r="B10" s="14">
        <v>240</v>
      </c>
      <c r="C10" s="10">
        <v>106</v>
      </c>
      <c r="D10" s="11">
        <v>13.1</v>
      </c>
      <c r="E10" s="11">
        <v>192</v>
      </c>
      <c r="F10" s="11">
        <v>8.6999999999999993</v>
      </c>
      <c r="G10" s="18">
        <v>46.1</v>
      </c>
      <c r="H10" s="15">
        <v>36.200000000000003</v>
      </c>
      <c r="I10" s="18">
        <v>4250</v>
      </c>
      <c r="J10" s="11">
        <v>354</v>
      </c>
      <c r="K10" s="11">
        <v>9.59</v>
      </c>
      <c r="L10" s="11">
        <v>206</v>
      </c>
      <c r="M10" s="15">
        <v>412</v>
      </c>
      <c r="N10" s="18">
        <v>221</v>
      </c>
      <c r="O10" s="11">
        <v>41.7</v>
      </c>
      <c r="P10" s="11">
        <v>2.2000000000000002</v>
      </c>
      <c r="Q10" s="11">
        <v>34.68</v>
      </c>
      <c r="R10" s="15">
        <v>69.37</v>
      </c>
      <c r="S10" s="18">
        <v>20.6</v>
      </c>
      <c r="T10" s="11">
        <v>28730</v>
      </c>
      <c r="U10" s="16"/>
      <c r="V10" s="9"/>
      <c r="W10" s="17"/>
    </row>
    <row r="11" spans="1:40" x14ac:dyDescent="0.25">
      <c r="A11" s="9" t="s">
        <v>31</v>
      </c>
      <c r="B11" s="14">
        <v>260</v>
      </c>
      <c r="C11" s="10">
        <v>113</v>
      </c>
      <c r="D11" s="11">
        <v>14.1</v>
      </c>
      <c r="E11" s="11">
        <v>208</v>
      </c>
      <c r="F11" s="11">
        <v>9.4</v>
      </c>
      <c r="G11" s="18">
        <v>53.3</v>
      </c>
      <c r="H11" s="15">
        <v>41.9</v>
      </c>
      <c r="I11" s="18">
        <v>5740</v>
      </c>
      <c r="J11" s="11">
        <v>442</v>
      </c>
      <c r="K11" s="11">
        <v>10.4</v>
      </c>
      <c r="L11" s="11">
        <v>257</v>
      </c>
      <c r="M11" s="15">
        <v>514</v>
      </c>
      <c r="N11" s="18">
        <v>288</v>
      </c>
      <c r="O11" s="11">
        <v>51</v>
      </c>
      <c r="P11" s="11">
        <v>2.3199999999999998</v>
      </c>
      <c r="Q11" s="11">
        <v>42.56</v>
      </c>
      <c r="R11" s="15">
        <v>85.11</v>
      </c>
      <c r="S11" s="18">
        <v>27.5</v>
      </c>
      <c r="T11" s="11">
        <v>44070</v>
      </c>
      <c r="U11" s="16"/>
      <c r="V11" s="9"/>
      <c r="W11" s="17"/>
    </row>
    <row r="12" spans="1:40" x14ac:dyDescent="0.25">
      <c r="A12" s="9" t="s">
        <v>31</v>
      </c>
      <c r="B12" s="14">
        <v>280</v>
      </c>
      <c r="C12" s="10">
        <v>119</v>
      </c>
      <c r="D12" s="11">
        <v>15.2</v>
      </c>
      <c r="E12" s="11">
        <v>225</v>
      </c>
      <c r="F12" s="11">
        <v>10.1</v>
      </c>
      <c r="G12" s="18">
        <v>61</v>
      </c>
      <c r="H12" s="15">
        <v>47.9</v>
      </c>
      <c r="I12" s="18">
        <v>7590</v>
      </c>
      <c r="J12" s="11">
        <v>542</v>
      </c>
      <c r="K12" s="11">
        <v>11.1</v>
      </c>
      <c r="L12" s="11">
        <v>316</v>
      </c>
      <c r="M12" s="15">
        <v>632</v>
      </c>
      <c r="N12" s="18">
        <v>364</v>
      </c>
      <c r="O12" s="11">
        <v>61.2</v>
      </c>
      <c r="P12" s="11">
        <v>2.4500000000000002</v>
      </c>
      <c r="Q12" s="11">
        <v>51.07</v>
      </c>
      <c r="R12" s="15">
        <v>102.1</v>
      </c>
      <c r="S12" s="18">
        <v>36.4</v>
      </c>
      <c r="T12" s="11">
        <v>64580</v>
      </c>
      <c r="U12" s="16"/>
      <c r="V12" s="9"/>
      <c r="W12" s="17"/>
    </row>
    <row r="13" spans="1:40" x14ac:dyDescent="0.25">
      <c r="A13" s="9" t="s">
        <v>31</v>
      </c>
      <c r="B13" s="14">
        <v>300</v>
      </c>
      <c r="C13" s="10">
        <v>125</v>
      </c>
      <c r="D13" s="11">
        <v>16.2</v>
      </c>
      <c r="E13" s="11">
        <v>241</v>
      </c>
      <c r="F13" s="11">
        <v>10.8</v>
      </c>
      <c r="G13" s="18">
        <v>69</v>
      </c>
      <c r="H13" s="15">
        <v>54.2</v>
      </c>
      <c r="I13" s="18">
        <v>9800</v>
      </c>
      <c r="J13" s="11">
        <v>653</v>
      </c>
      <c r="K13" s="11">
        <v>11.9</v>
      </c>
      <c r="L13" s="11">
        <v>381</v>
      </c>
      <c r="M13" s="15">
        <v>762</v>
      </c>
      <c r="N13" s="18">
        <v>451</v>
      </c>
      <c r="O13" s="11">
        <v>72.2</v>
      </c>
      <c r="P13" s="11">
        <v>2.56</v>
      </c>
      <c r="Q13" s="11">
        <v>60.29</v>
      </c>
      <c r="R13" s="15">
        <v>120.6</v>
      </c>
      <c r="S13" s="18">
        <v>46.7</v>
      </c>
      <c r="T13" s="11">
        <v>91850</v>
      </c>
      <c r="U13" s="16"/>
      <c r="V13" s="9"/>
      <c r="W13" s="17"/>
    </row>
    <row r="14" spans="1:40" x14ac:dyDescent="0.25">
      <c r="A14" s="9" t="s">
        <v>31</v>
      </c>
      <c r="B14" s="14">
        <v>320</v>
      </c>
      <c r="C14" s="10">
        <v>131</v>
      </c>
      <c r="D14" s="11">
        <v>17.3</v>
      </c>
      <c r="E14" s="11">
        <v>258</v>
      </c>
      <c r="F14" s="11">
        <v>11.5</v>
      </c>
      <c r="G14" s="18">
        <v>77.7</v>
      </c>
      <c r="H14" s="15">
        <v>61</v>
      </c>
      <c r="I14" s="18">
        <v>12510</v>
      </c>
      <c r="J14" s="11">
        <v>782</v>
      </c>
      <c r="K14" s="11">
        <v>12.7</v>
      </c>
      <c r="L14" s="11">
        <v>457</v>
      </c>
      <c r="M14" s="15">
        <v>914</v>
      </c>
      <c r="N14" s="18">
        <v>555</v>
      </c>
      <c r="O14" s="11">
        <v>84.7</v>
      </c>
      <c r="P14" s="11">
        <v>2.67</v>
      </c>
      <c r="Q14" s="11">
        <v>70.959999999999994</v>
      </c>
      <c r="R14" s="15">
        <v>141.9</v>
      </c>
      <c r="S14" s="18">
        <v>59.7</v>
      </c>
      <c r="T14" s="11">
        <v>128800</v>
      </c>
      <c r="U14" s="16"/>
      <c r="V14" s="9"/>
      <c r="W14" s="17"/>
    </row>
    <row r="15" spans="1:40" x14ac:dyDescent="0.25">
      <c r="A15" s="9" t="s">
        <v>31</v>
      </c>
      <c r="B15" s="14">
        <v>340</v>
      </c>
      <c r="C15" s="10">
        <v>137</v>
      </c>
      <c r="D15" s="11">
        <v>18.3</v>
      </c>
      <c r="E15" s="11">
        <v>274</v>
      </c>
      <c r="F15" s="11">
        <v>12.2</v>
      </c>
      <c r="G15" s="18">
        <v>86.7</v>
      </c>
      <c r="H15" s="15">
        <v>68</v>
      </c>
      <c r="I15" s="18">
        <v>15700</v>
      </c>
      <c r="J15" s="11">
        <v>923</v>
      </c>
      <c r="K15" s="11">
        <v>13.5</v>
      </c>
      <c r="L15" s="11">
        <v>540</v>
      </c>
      <c r="M15" s="15">
        <v>1080</v>
      </c>
      <c r="N15" s="18">
        <v>674</v>
      </c>
      <c r="O15" s="11">
        <v>98.4</v>
      </c>
      <c r="P15" s="11">
        <v>2.8</v>
      </c>
      <c r="Q15" s="11">
        <v>82.35</v>
      </c>
      <c r="R15" s="15">
        <v>164.7</v>
      </c>
      <c r="S15" s="18">
        <v>74.3</v>
      </c>
      <c r="T15" s="11">
        <v>176300</v>
      </c>
      <c r="U15" s="16"/>
      <c r="V15" s="9"/>
      <c r="W15" s="17"/>
    </row>
    <row r="16" spans="1:40" x14ac:dyDescent="0.25">
      <c r="A16" s="9" t="s">
        <v>31</v>
      </c>
      <c r="B16" s="14">
        <v>360</v>
      </c>
      <c r="C16" s="10">
        <v>143</v>
      </c>
      <c r="D16" s="11">
        <v>19.5</v>
      </c>
      <c r="E16" s="11">
        <v>290</v>
      </c>
      <c r="F16" s="11">
        <v>13</v>
      </c>
      <c r="G16" s="18">
        <v>97</v>
      </c>
      <c r="H16" s="15">
        <v>76.099999999999994</v>
      </c>
      <c r="I16" s="18">
        <v>19610</v>
      </c>
      <c r="J16" s="11">
        <v>1090</v>
      </c>
      <c r="K16" s="11">
        <v>14.2</v>
      </c>
      <c r="L16" s="11">
        <v>638</v>
      </c>
      <c r="M16" s="15">
        <v>1276</v>
      </c>
      <c r="N16" s="18">
        <v>818</v>
      </c>
      <c r="O16" s="11">
        <v>114</v>
      </c>
      <c r="P16" s="11">
        <v>2.9</v>
      </c>
      <c r="Q16" s="11">
        <v>95.96</v>
      </c>
      <c r="R16" s="15">
        <v>191.9</v>
      </c>
      <c r="S16" s="18">
        <v>94.2</v>
      </c>
      <c r="T16" s="11">
        <v>240100</v>
      </c>
      <c r="U16" s="16"/>
      <c r="V16" s="9"/>
      <c r="W16" s="17"/>
    </row>
    <row r="17" spans="1:23" x14ac:dyDescent="0.25">
      <c r="A17" s="9" t="s">
        <v>31</v>
      </c>
      <c r="B17" s="14">
        <v>380</v>
      </c>
      <c r="C17" s="10">
        <v>149</v>
      </c>
      <c r="D17" s="11">
        <v>20.5</v>
      </c>
      <c r="E17" s="11">
        <v>306</v>
      </c>
      <c r="F17" s="11">
        <v>13.7</v>
      </c>
      <c r="G17" s="18">
        <v>107</v>
      </c>
      <c r="H17" s="15">
        <v>84</v>
      </c>
      <c r="I17" s="18">
        <v>24010</v>
      </c>
      <c r="J17" s="11">
        <v>1260</v>
      </c>
      <c r="K17" s="11">
        <v>15</v>
      </c>
      <c r="L17" s="11">
        <v>741</v>
      </c>
      <c r="M17" s="15">
        <v>1482</v>
      </c>
      <c r="N17" s="18">
        <v>975</v>
      </c>
      <c r="O17" s="11">
        <v>131</v>
      </c>
      <c r="P17" s="11">
        <v>3.02</v>
      </c>
      <c r="Q17" s="11">
        <v>109.8</v>
      </c>
      <c r="R17" s="15">
        <v>219.6</v>
      </c>
      <c r="S17" s="18">
        <v>115</v>
      </c>
      <c r="T17" s="11">
        <v>318700</v>
      </c>
      <c r="U17" s="16"/>
      <c r="V17" s="9"/>
      <c r="W17" s="17"/>
    </row>
    <row r="18" spans="1:23" x14ac:dyDescent="0.25">
      <c r="A18" s="9" t="s">
        <v>31</v>
      </c>
      <c r="B18" s="14">
        <v>400</v>
      </c>
      <c r="C18" s="10">
        <v>155</v>
      </c>
      <c r="D18" s="11">
        <v>21.6</v>
      </c>
      <c r="E18" s="11">
        <v>323</v>
      </c>
      <c r="F18" s="11">
        <v>14.4</v>
      </c>
      <c r="G18" s="18">
        <v>118</v>
      </c>
      <c r="H18" s="15">
        <v>92.4</v>
      </c>
      <c r="I18" s="18">
        <v>29210</v>
      </c>
      <c r="J18" s="11">
        <v>1460</v>
      </c>
      <c r="K18" s="11">
        <v>15.7</v>
      </c>
      <c r="L18" s="11">
        <v>857</v>
      </c>
      <c r="M18" s="15">
        <v>1714</v>
      </c>
      <c r="N18" s="18">
        <v>1160</v>
      </c>
      <c r="O18" s="11">
        <v>149</v>
      </c>
      <c r="P18" s="11">
        <v>3.13</v>
      </c>
      <c r="Q18" s="11">
        <v>125.5</v>
      </c>
      <c r="R18" s="15">
        <v>251</v>
      </c>
      <c r="S18" s="18">
        <v>140</v>
      </c>
      <c r="T18" s="11">
        <v>419600</v>
      </c>
      <c r="U18" s="16"/>
      <c r="V18" s="9"/>
      <c r="W18" s="17"/>
    </row>
    <row r="19" spans="1:23" x14ac:dyDescent="0.25">
      <c r="A19" s="9" t="s">
        <v>31</v>
      </c>
      <c r="B19" s="14">
        <v>425</v>
      </c>
      <c r="C19" s="10">
        <v>163</v>
      </c>
      <c r="D19" s="11">
        <v>23</v>
      </c>
      <c r="E19" s="11">
        <v>343</v>
      </c>
      <c r="F19" s="11">
        <v>15.3</v>
      </c>
      <c r="G19" s="18">
        <v>132</v>
      </c>
      <c r="H19" s="15">
        <v>104</v>
      </c>
      <c r="I19" s="18">
        <v>36970</v>
      </c>
      <c r="J19" s="11">
        <v>1740</v>
      </c>
      <c r="K19" s="11">
        <v>16.7</v>
      </c>
      <c r="L19" s="11">
        <v>1020</v>
      </c>
      <c r="M19" s="15">
        <v>2040</v>
      </c>
      <c r="N19" s="18">
        <v>1440</v>
      </c>
      <c r="O19" s="11">
        <v>176</v>
      </c>
      <c r="P19" s="11">
        <v>3.3</v>
      </c>
      <c r="Q19" s="11">
        <v>148.1</v>
      </c>
      <c r="R19" s="15">
        <v>296.2</v>
      </c>
      <c r="S19" s="18">
        <v>177</v>
      </c>
      <c r="T19" s="11">
        <v>587500</v>
      </c>
      <c r="U19" s="16"/>
      <c r="V19" s="9"/>
      <c r="W19" s="17"/>
    </row>
    <row r="20" spans="1:23" x14ac:dyDescent="0.25">
      <c r="A20" s="9" t="s">
        <v>31</v>
      </c>
      <c r="B20" s="14">
        <v>450</v>
      </c>
      <c r="C20" s="10">
        <v>170</v>
      </c>
      <c r="D20" s="11">
        <v>24.3</v>
      </c>
      <c r="E20" s="11">
        <v>363</v>
      </c>
      <c r="F20" s="11">
        <v>16.2</v>
      </c>
      <c r="G20" s="18">
        <v>147</v>
      </c>
      <c r="H20" s="15">
        <v>115</v>
      </c>
      <c r="I20" s="18">
        <v>45850</v>
      </c>
      <c r="J20" s="11">
        <v>2040</v>
      </c>
      <c r="K20" s="11">
        <v>17.7</v>
      </c>
      <c r="L20" s="11">
        <v>1200</v>
      </c>
      <c r="M20" s="15">
        <v>2400</v>
      </c>
      <c r="N20" s="18">
        <v>1730</v>
      </c>
      <c r="O20" s="11">
        <v>203</v>
      </c>
      <c r="P20" s="11">
        <v>3.43</v>
      </c>
      <c r="Q20" s="11">
        <v>170.7</v>
      </c>
      <c r="R20" s="15">
        <v>341.4</v>
      </c>
      <c r="S20" s="18">
        <v>220</v>
      </c>
      <c r="T20" s="11">
        <v>791100</v>
      </c>
      <c r="U20" s="16"/>
      <c r="V20" s="9"/>
      <c r="W20" s="17"/>
    </row>
    <row r="21" spans="1:23" x14ac:dyDescent="0.25">
      <c r="A21" s="9" t="s">
        <v>31</v>
      </c>
      <c r="B21" s="14">
        <v>475</v>
      </c>
      <c r="C21" s="10">
        <v>178</v>
      </c>
      <c r="D21" s="11">
        <v>25.6</v>
      </c>
      <c r="E21" s="11">
        <v>384</v>
      </c>
      <c r="F21" s="11">
        <v>17.100000000000001</v>
      </c>
      <c r="G21" s="18">
        <v>163</v>
      </c>
      <c r="H21" s="15">
        <v>128</v>
      </c>
      <c r="I21" s="18">
        <v>56480</v>
      </c>
      <c r="J21" s="11">
        <v>2380</v>
      </c>
      <c r="K21" s="11">
        <v>18.600000000000001</v>
      </c>
      <c r="L21" s="11">
        <v>1400</v>
      </c>
      <c r="M21" s="15">
        <v>2800</v>
      </c>
      <c r="N21" s="18">
        <v>2090</v>
      </c>
      <c r="O21" s="11">
        <v>235</v>
      </c>
      <c r="P21" s="11">
        <v>3.6</v>
      </c>
      <c r="Q21" s="11">
        <v>197.5</v>
      </c>
      <c r="R21" s="15">
        <v>394.9</v>
      </c>
      <c r="S21" s="18">
        <v>270</v>
      </c>
      <c r="T21" s="11">
        <v>1067000</v>
      </c>
      <c r="U21" s="16"/>
      <c r="V21" s="9"/>
      <c r="W21" s="17"/>
    </row>
    <row r="22" spans="1:23" x14ac:dyDescent="0.25">
      <c r="A22" s="9" t="s">
        <v>31</v>
      </c>
      <c r="B22" s="14">
        <v>500</v>
      </c>
      <c r="C22" s="10">
        <v>185</v>
      </c>
      <c r="D22" s="11">
        <v>27</v>
      </c>
      <c r="E22" s="11">
        <v>404</v>
      </c>
      <c r="F22" s="11">
        <v>18</v>
      </c>
      <c r="G22" s="18">
        <v>179</v>
      </c>
      <c r="H22" s="15">
        <v>141</v>
      </c>
      <c r="I22" s="18">
        <v>68740</v>
      </c>
      <c r="J22" s="11">
        <v>2750</v>
      </c>
      <c r="K22" s="11">
        <v>19.600000000000001</v>
      </c>
      <c r="L22" s="11">
        <v>1620</v>
      </c>
      <c r="M22" s="15">
        <v>3240</v>
      </c>
      <c r="N22" s="18">
        <v>2480</v>
      </c>
      <c r="O22" s="11">
        <v>268</v>
      </c>
      <c r="P22" s="11">
        <v>3.72</v>
      </c>
      <c r="Q22" s="11">
        <v>225.7</v>
      </c>
      <c r="R22" s="15">
        <v>451.4</v>
      </c>
      <c r="S22" s="18">
        <v>329</v>
      </c>
      <c r="T22" s="11">
        <v>1403000</v>
      </c>
      <c r="U22" s="16"/>
      <c r="V22" s="9"/>
      <c r="W22" s="17"/>
    </row>
    <row r="23" spans="1:23" x14ac:dyDescent="0.25">
      <c r="A23" s="9" t="s">
        <v>31</v>
      </c>
      <c r="B23" s="14">
        <v>550</v>
      </c>
      <c r="C23" s="10">
        <v>200</v>
      </c>
      <c r="D23" s="11">
        <v>30</v>
      </c>
      <c r="E23" s="11">
        <v>445</v>
      </c>
      <c r="F23" s="11">
        <v>19</v>
      </c>
      <c r="G23" s="18">
        <v>212</v>
      </c>
      <c r="H23" s="15">
        <v>166</v>
      </c>
      <c r="I23" s="18">
        <v>99180</v>
      </c>
      <c r="J23" s="11">
        <v>3610</v>
      </c>
      <c r="K23" s="11">
        <v>21.6</v>
      </c>
      <c r="L23" s="11">
        <v>2120</v>
      </c>
      <c r="M23" s="15">
        <v>4240</v>
      </c>
      <c r="N23" s="18">
        <v>3490</v>
      </c>
      <c r="O23" s="11">
        <v>349</v>
      </c>
      <c r="P23" s="11">
        <v>4.0199999999999996</v>
      </c>
      <c r="Q23" s="11">
        <v>292.3</v>
      </c>
      <c r="R23" s="15">
        <v>584.6</v>
      </c>
      <c r="S23" s="18">
        <v>472</v>
      </c>
      <c r="T23" s="11">
        <v>2389000</v>
      </c>
      <c r="U23" s="16"/>
      <c r="V23" s="9"/>
      <c r="W23" s="17"/>
    </row>
    <row r="24" spans="1:23" x14ac:dyDescent="0.25">
      <c r="A24" s="9" t="s">
        <v>31</v>
      </c>
      <c r="B24" s="14">
        <v>600</v>
      </c>
      <c r="C24" s="10">
        <v>215</v>
      </c>
      <c r="D24" s="11">
        <v>32.4</v>
      </c>
      <c r="E24" s="11">
        <v>485</v>
      </c>
      <c r="F24" s="11">
        <v>21.6</v>
      </c>
      <c r="G24" s="18">
        <v>254</v>
      </c>
      <c r="H24" s="15">
        <v>199</v>
      </c>
      <c r="I24" s="18">
        <v>139000</v>
      </c>
      <c r="J24" s="11">
        <v>4630</v>
      </c>
      <c r="K24" s="11">
        <v>23.4</v>
      </c>
      <c r="L24" s="11">
        <v>2730</v>
      </c>
      <c r="M24" s="15">
        <v>5460</v>
      </c>
      <c r="N24" s="18">
        <v>4670</v>
      </c>
      <c r="O24" s="11">
        <v>434</v>
      </c>
      <c r="P24" s="11">
        <v>4.3</v>
      </c>
      <c r="Q24" s="11">
        <v>368.4</v>
      </c>
      <c r="R24" s="15">
        <v>736.7</v>
      </c>
      <c r="S24" s="18">
        <v>667</v>
      </c>
      <c r="T24" s="11">
        <v>3821000</v>
      </c>
      <c r="U24" s="16"/>
      <c r="V24" s="9"/>
      <c r="W24" s="17"/>
    </row>
    <row r="25" spans="1:23" x14ac:dyDescent="0.25">
      <c r="A25" s="9" t="s">
        <v>32</v>
      </c>
      <c r="B25" s="14">
        <v>100</v>
      </c>
      <c r="C25" s="10">
        <v>100</v>
      </c>
      <c r="D25" s="11">
        <v>10</v>
      </c>
      <c r="E25" s="11">
        <v>56</v>
      </c>
      <c r="F25" s="11">
        <v>6</v>
      </c>
      <c r="G25" s="18">
        <v>26</v>
      </c>
      <c r="H25" s="15">
        <v>20.399999999999999</v>
      </c>
      <c r="I25" s="18">
        <v>450</v>
      </c>
      <c r="J25" s="11">
        <v>89.9</v>
      </c>
      <c r="K25" s="11">
        <v>4.16</v>
      </c>
      <c r="L25" s="11">
        <v>52.1</v>
      </c>
      <c r="M25" s="15">
        <v>104</v>
      </c>
      <c r="N25" s="18">
        <v>167</v>
      </c>
      <c r="O25" s="11">
        <v>33.5</v>
      </c>
      <c r="P25" s="11">
        <v>2.5299999999999998</v>
      </c>
      <c r="Q25" s="11">
        <v>25.4</v>
      </c>
      <c r="R25" s="15">
        <v>50.7</v>
      </c>
      <c r="S25" s="18">
        <v>7.24</v>
      </c>
      <c r="T25" s="11">
        <v>3375</v>
      </c>
      <c r="U25" s="16"/>
      <c r="V25" s="9"/>
      <c r="W25" s="17"/>
    </row>
    <row r="26" spans="1:23" x14ac:dyDescent="0.25">
      <c r="A26" s="9" t="s">
        <v>32</v>
      </c>
      <c r="B26" s="14">
        <v>120</v>
      </c>
      <c r="C26" s="10">
        <v>120</v>
      </c>
      <c r="D26" s="11">
        <v>11</v>
      </c>
      <c r="E26" s="11">
        <v>74</v>
      </c>
      <c r="F26" s="11">
        <v>6.5</v>
      </c>
      <c r="G26" s="18">
        <v>34</v>
      </c>
      <c r="H26" s="15">
        <v>26.7</v>
      </c>
      <c r="I26" s="18">
        <v>864</v>
      </c>
      <c r="J26" s="11">
        <v>144</v>
      </c>
      <c r="K26" s="11">
        <v>5.04</v>
      </c>
      <c r="L26" s="11">
        <v>82.6</v>
      </c>
      <c r="M26" s="15">
        <v>165</v>
      </c>
      <c r="N26" s="18">
        <v>318</v>
      </c>
      <c r="O26" s="11">
        <v>52.9</v>
      </c>
      <c r="P26" s="11">
        <v>3.06</v>
      </c>
      <c r="Q26" s="11">
        <v>40.1</v>
      </c>
      <c r="R26" s="15">
        <v>80.2</v>
      </c>
      <c r="S26" s="18">
        <v>11.5</v>
      </c>
      <c r="T26" s="11">
        <v>9410</v>
      </c>
      <c r="U26" s="16"/>
      <c r="V26" s="9"/>
      <c r="W26" s="17"/>
    </row>
    <row r="27" spans="1:23" x14ac:dyDescent="0.25">
      <c r="A27" s="9" t="s">
        <v>32</v>
      </c>
      <c r="B27" s="14">
        <v>140</v>
      </c>
      <c r="C27" s="10">
        <v>140</v>
      </c>
      <c r="D27" s="11">
        <v>12</v>
      </c>
      <c r="E27" s="11">
        <v>92</v>
      </c>
      <c r="F27" s="11">
        <v>7</v>
      </c>
      <c r="G27" s="18">
        <v>43</v>
      </c>
      <c r="H27" s="15">
        <v>33.700000000000003</v>
      </c>
      <c r="I27" s="18">
        <v>1510</v>
      </c>
      <c r="J27" s="11">
        <v>216</v>
      </c>
      <c r="K27" s="11">
        <v>5.93</v>
      </c>
      <c r="L27" s="11">
        <v>123</v>
      </c>
      <c r="M27" s="15">
        <v>246</v>
      </c>
      <c r="N27" s="18">
        <v>550</v>
      </c>
      <c r="O27" s="11">
        <v>78.5</v>
      </c>
      <c r="P27" s="11">
        <v>3.58</v>
      </c>
      <c r="Q27" s="11">
        <v>59.5</v>
      </c>
      <c r="R27" s="15">
        <v>119</v>
      </c>
      <c r="S27" s="18">
        <v>17.5</v>
      </c>
      <c r="T27" s="11">
        <v>22480</v>
      </c>
      <c r="U27" s="16"/>
      <c r="V27" s="9"/>
      <c r="W27" s="17"/>
    </row>
    <row r="28" spans="1:23" x14ac:dyDescent="0.25">
      <c r="A28" s="9" t="s">
        <v>32</v>
      </c>
      <c r="B28" s="14">
        <v>160</v>
      </c>
      <c r="C28" s="10">
        <v>160</v>
      </c>
      <c r="D28" s="11">
        <v>13</v>
      </c>
      <c r="E28" s="11">
        <v>104</v>
      </c>
      <c r="F28" s="11">
        <v>8</v>
      </c>
      <c r="G28" s="18">
        <v>54.3</v>
      </c>
      <c r="H28" s="15">
        <v>42.6</v>
      </c>
      <c r="I28" s="18">
        <v>2490</v>
      </c>
      <c r="J28" s="11">
        <v>311</v>
      </c>
      <c r="K28" s="11">
        <v>6.77</v>
      </c>
      <c r="L28" s="11">
        <v>177</v>
      </c>
      <c r="M28" s="15">
        <v>354</v>
      </c>
      <c r="N28" s="18">
        <v>889</v>
      </c>
      <c r="O28" s="11">
        <v>111</v>
      </c>
      <c r="P28" s="11">
        <v>4.05</v>
      </c>
      <c r="Q28" s="11">
        <v>84.3</v>
      </c>
      <c r="R28" s="15">
        <v>169</v>
      </c>
      <c r="S28" s="18">
        <v>25.7</v>
      </c>
      <c r="T28" s="11">
        <v>47940</v>
      </c>
      <c r="U28" s="16"/>
      <c r="V28" s="9"/>
      <c r="W28" s="17"/>
    </row>
    <row r="29" spans="1:23" x14ac:dyDescent="0.25">
      <c r="A29" s="9" t="s">
        <v>32</v>
      </c>
      <c r="B29" s="14">
        <v>180</v>
      </c>
      <c r="C29" s="10">
        <v>180</v>
      </c>
      <c r="D29" s="11">
        <v>14</v>
      </c>
      <c r="E29" s="11">
        <v>122</v>
      </c>
      <c r="F29" s="11">
        <v>8.5</v>
      </c>
      <c r="G29" s="18">
        <v>65.3</v>
      </c>
      <c r="H29" s="15">
        <v>51.2</v>
      </c>
      <c r="I29" s="18">
        <v>3830</v>
      </c>
      <c r="J29" s="11">
        <v>426</v>
      </c>
      <c r="K29" s="11">
        <v>7.66</v>
      </c>
      <c r="L29" s="11">
        <v>241</v>
      </c>
      <c r="M29" s="15">
        <v>482</v>
      </c>
      <c r="N29" s="18">
        <v>1360</v>
      </c>
      <c r="O29" s="11">
        <v>151</v>
      </c>
      <c r="P29" s="11">
        <v>4.5599999999999996</v>
      </c>
      <c r="Q29" s="11">
        <v>115</v>
      </c>
      <c r="R29" s="15">
        <v>230</v>
      </c>
      <c r="S29" s="18">
        <v>36</v>
      </c>
      <c r="T29" s="11">
        <v>93750</v>
      </c>
      <c r="U29" s="16"/>
      <c r="V29" s="9"/>
      <c r="W29" s="17"/>
    </row>
    <row r="30" spans="1:23" x14ac:dyDescent="0.25">
      <c r="A30" s="9" t="s">
        <v>32</v>
      </c>
      <c r="B30" s="14">
        <v>200</v>
      </c>
      <c r="C30" s="10">
        <v>200</v>
      </c>
      <c r="D30" s="11">
        <v>15</v>
      </c>
      <c r="E30" s="11">
        <v>134</v>
      </c>
      <c r="F30" s="11">
        <v>9</v>
      </c>
      <c r="G30" s="18">
        <v>78.099999999999994</v>
      </c>
      <c r="H30" s="15">
        <v>61.3</v>
      </c>
      <c r="I30" s="18">
        <v>5700</v>
      </c>
      <c r="J30" s="11">
        <v>570</v>
      </c>
      <c r="K30" s="11">
        <v>8.5399999999999991</v>
      </c>
      <c r="L30" s="11">
        <v>321</v>
      </c>
      <c r="M30" s="15">
        <v>642</v>
      </c>
      <c r="N30" s="18">
        <v>2000</v>
      </c>
      <c r="O30" s="11">
        <v>200</v>
      </c>
      <c r="P30" s="11">
        <v>5.0599999999999996</v>
      </c>
      <c r="Q30" s="11">
        <v>152</v>
      </c>
      <c r="R30" s="15">
        <v>303</v>
      </c>
      <c r="S30" s="18">
        <v>49.1</v>
      </c>
      <c r="T30" s="11">
        <v>171490</v>
      </c>
      <c r="U30" s="16"/>
      <c r="V30" s="9"/>
      <c r="W30" s="17"/>
    </row>
    <row r="31" spans="1:23" x14ac:dyDescent="0.25">
      <c r="A31" s="9" t="s">
        <v>32</v>
      </c>
      <c r="B31" s="14">
        <v>220</v>
      </c>
      <c r="C31" s="10">
        <v>220</v>
      </c>
      <c r="D31" s="11">
        <v>16</v>
      </c>
      <c r="E31" s="11">
        <v>152</v>
      </c>
      <c r="F31" s="11">
        <v>9.5</v>
      </c>
      <c r="G31" s="18">
        <v>91</v>
      </c>
      <c r="H31" s="15">
        <v>71.5</v>
      </c>
      <c r="I31" s="18">
        <v>8090</v>
      </c>
      <c r="J31" s="11">
        <v>736</v>
      </c>
      <c r="K31" s="11">
        <v>9.43</v>
      </c>
      <c r="L31" s="11">
        <v>414</v>
      </c>
      <c r="M31" s="15">
        <v>828</v>
      </c>
      <c r="N31" s="18">
        <v>2840</v>
      </c>
      <c r="O31" s="11">
        <v>258</v>
      </c>
      <c r="P31" s="11">
        <v>5.59</v>
      </c>
      <c r="Q31" s="11">
        <v>196</v>
      </c>
      <c r="R31" s="15">
        <v>391</v>
      </c>
      <c r="S31" s="18">
        <v>65.400000000000006</v>
      </c>
      <c r="T31" s="11">
        <v>295400</v>
      </c>
      <c r="U31" s="16"/>
      <c r="V31" s="9"/>
      <c r="W31" s="17"/>
    </row>
    <row r="32" spans="1:23" x14ac:dyDescent="0.25">
      <c r="A32" s="9" t="s">
        <v>32</v>
      </c>
      <c r="B32" s="14">
        <v>240</v>
      </c>
      <c r="C32" s="10">
        <v>240</v>
      </c>
      <c r="D32" s="11">
        <v>17</v>
      </c>
      <c r="E32" s="11">
        <v>164</v>
      </c>
      <c r="F32" s="11">
        <v>10</v>
      </c>
      <c r="G32" s="18">
        <v>106</v>
      </c>
      <c r="H32" s="15">
        <v>83.2</v>
      </c>
      <c r="I32" s="18">
        <v>11260</v>
      </c>
      <c r="J32" s="11">
        <v>938</v>
      </c>
      <c r="K32" s="11">
        <v>10.3</v>
      </c>
      <c r="L32" s="11">
        <v>427</v>
      </c>
      <c r="M32" s="15">
        <v>854</v>
      </c>
      <c r="N32" s="18">
        <v>3920</v>
      </c>
      <c r="O32" s="11">
        <v>327</v>
      </c>
      <c r="P32" s="11">
        <v>6.08</v>
      </c>
      <c r="Q32" s="11">
        <v>247</v>
      </c>
      <c r="R32" s="15">
        <v>495</v>
      </c>
      <c r="S32" s="18">
        <v>85.5</v>
      </c>
      <c r="T32" s="11">
        <v>486900</v>
      </c>
      <c r="U32" s="16"/>
      <c r="V32" s="9"/>
      <c r="W32" s="17"/>
    </row>
    <row r="33" spans="1:23" x14ac:dyDescent="0.25">
      <c r="A33" s="9" t="s">
        <v>32</v>
      </c>
      <c r="B33" s="14">
        <v>260</v>
      </c>
      <c r="C33" s="10">
        <v>260</v>
      </c>
      <c r="D33" s="11">
        <v>17.5</v>
      </c>
      <c r="E33" s="11">
        <v>177</v>
      </c>
      <c r="F33" s="11">
        <v>10</v>
      </c>
      <c r="G33" s="18">
        <v>118</v>
      </c>
      <c r="H33" s="15">
        <v>93</v>
      </c>
      <c r="I33" s="18">
        <v>14920</v>
      </c>
      <c r="J33" s="11">
        <v>1150</v>
      </c>
      <c r="K33" s="11">
        <v>11.2</v>
      </c>
      <c r="L33" s="11">
        <v>641</v>
      </c>
      <c r="M33" s="15">
        <v>1282</v>
      </c>
      <c r="N33" s="18">
        <v>5130</v>
      </c>
      <c r="O33" s="11">
        <v>395</v>
      </c>
      <c r="P33" s="11">
        <v>6.59</v>
      </c>
      <c r="Q33" s="11">
        <v>299</v>
      </c>
      <c r="R33" s="15">
        <v>597</v>
      </c>
      <c r="S33" s="18">
        <v>100</v>
      </c>
      <c r="T33" s="11">
        <v>753700</v>
      </c>
      <c r="U33" s="16"/>
      <c r="V33" s="9"/>
      <c r="W33" s="17"/>
    </row>
    <row r="34" spans="1:23" x14ac:dyDescent="0.25">
      <c r="A34" s="9" t="s">
        <v>32</v>
      </c>
      <c r="B34" s="14">
        <v>280</v>
      </c>
      <c r="C34" s="10">
        <v>280</v>
      </c>
      <c r="D34" s="11">
        <v>18</v>
      </c>
      <c r="E34" s="11">
        <v>196</v>
      </c>
      <c r="F34" s="11">
        <v>10.5</v>
      </c>
      <c r="G34" s="18">
        <v>131</v>
      </c>
      <c r="H34" s="15">
        <v>103</v>
      </c>
      <c r="I34" s="18">
        <v>19270</v>
      </c>
      <c r="J34" s="11">
        <v>1380</v>
      </c>
      <c r="K34" s="11">
        <v>12.1</v>
      </c>
      <c r="L34" s="11">
        <v>767</v>
      </c>
      <c r="M34" s="15">
        <v>1534</v>
      </c>
      <c r="N34" s="18">
        <v>6590</v>
      </c>
      <c r="O34" s="11">
        <v>471</v>
      </c>
      <c r="P34" s="11">
        <v>7.09</v>
      </c>
      <c r="Q34" s="11">
        <v>356</v>
      </c>
      <c r="R34" s="15">
        <v>712</v>
      </c>
      <c r="S34" s="18">
        <v>118</v>
      </c>
      <c r="T34" s="11">
        <v>1430000</v>
      </c>
      <c r="U34" s="16"/>
      <c r="V34" s="9"/>
      <c r="W34" s="17"/>
    </row>
    <row r="35" spans="1:23" x14ac:dyDescent="0.25">
      <c r="A35" s="9" t="s">
        <v>32</v>
      </c>
      <c r="B35" s="14">
        <v>300</v>
      </c>
      <c r="C35" s="10">
        <v>300</v>
      </c>
      <c r="D35" s="11">
        <v>19</v>
      </c>
      <c r="E35" s="11">
        <v>208</v>
      </c>
      <c r="F35" s="11">
        <v>11</v>
      </c>
      <c r="G35" s="18">
        <v>149</v>
      </c>
      <c r="H35" s="15">
        <v>117</v>
      </c>
      <c r="I35" s="18">
        <v>25170</v>
      </c>
      <c r="J35" s="11">
        <v>1680</v>
      </c>
      <c r="K35" s="11">
        <v>13</v>
      </c>
      <c r="L35" s="11">
        <v>934</v>
      </c>
      <c r="M35" s="15">
        <v>1868</v>
      </c>
      <c r="N35" s="18">
        <v>8560</v>
      </c>
      <c r="O35" s="11">
        <v>571</v>
      </c>
      <c r="P35" s="11">
        <v>7.58</v>
      </c>
      <c r="Q35" s="11">
        <v>431</v>
      </c>
      <c r="R35" s="15">
        <v>863</v>
      </c>
      <c r="S35" s="18">
        <v>149</v>
      </c>
      <c r="T35" s="11">
        <v>1688000</v>
      </c>
      <c r="U35" s="16"/>
      <c r="V35" s="9"/>
      <c r="W35" s="17"/>
    </row>
    <row r="36" spans="1:23" x14ac:dyDescent="0.25">
      <c r="A36" s="9" t="s">
        <v>32</v>
      </c>
      <c r="B36" s="14">
        <v>320</v>
      </c>
      <c r="C36" s="10">
        <v>300</v>
      </c>
      <c r="D36" s="11">
        <v>20.5</v>
      </c>
      <c r="E36" s="11">
        <v>225</v>
      </c>
      <c r="F36" s="11">
        <v>11.5</v>
      </c>
      <c r="G36" s="18">
        <v>161</v>
      </c>
      <c r="H36" s="15">
        <v>127</v>
      </c>
      <c r="I36" s="18">
        <v>30820</v>
      </c>
      <c r="J36" s="11">
        <v>1930</v>
      </c>
      <c r="K36" s="11">
        <v>13.8</v>
      </c>
      <c r="L36" s="11">
        <v>1070</v>
      </c>
      <c r="M36" s="15">
        <v>2140</v>
      </c>
      <c r="N36" s="18">
        <v>9240</v>
      </c>
      <c r="O36" s="11">
        <v>616</v>
      </c>
      <c r="P36" s="11">
        <v>7.58</v>
      </c>
      <c r="Q36" s="11">
        <v>466</v>
      </c>
      <c r="R36" s="15">
        <v>932</v>
      </c>
      <c r="S36" s="18">
        <v>186</v>
      </c>
      <c r="T36" s="11">
        <v>2069000</v>
      </c>
      <c r="U36" s="16"/>
      <c r="V36" s="9"/>
      <c r="W36" s="17"/>
    </row>
    <row r="37" spans="1:23" x14ac:dyDescent="0.25">
      <c r="A37" s="9" t="s">
        <v>32</v>
      </c>
      <c r="B37" s="14">
        <v>340</v>
      </c>
      <c r="C37" s="10">
        <v>300</v>
      </c>
      <c r="D37" s="11">
        <v>21.5</v>
      </c>
      <c r="E37" s="11">
        <v>243</v>
      </c>
      <c r="F37" s="11">
        <v>12</v>
      </c>
      <c r="G37" s="18">
        <v>171</v>
      </c>
      <c r="H37" s="15">
        <v>134</v>
      </c>
      <c r="I37" s="18">
        <v>36660</v>
      </c>
      <c r="J37" s="11">
        <v>2160</v>
      </c>
      <c r="K37" s="11">
        <v>14.6</v>
      </c>
      <c r="L37" s="11">
        <v>1200</v>
      </c>
      <c r="M37" s="15">
        <v>2400</v>
      </c>
      <c r="N37" s="18">
        <v>9690</v>
      </c>
      <c r="O37" s="11">
        <v>646</v>
      </c>
      <c r="P37" s="11">
        <v>7.53</v>
      </c>
      <c r="Q37" s="11">
        <v>489</v>
      </c>
      <c r="R37" s="15">
        <v>978</v>
      </c>
      <c r="S37" s="18">
        <v>216</v>
      </c>
      <c r="T37" s="11">
        <v>2454000</v>
      </c>
      <c r="U37" s="16"/>
      <c r="V37" s="9"/>
      <c r="W37" s="17"/>
    </row>
    <row r="38" spans="1:23" x14ac:dyDescent="0.25">
      <c r="A38" s="9" t="s">
        <v>32</v>
      </c>
      <c r="B38" s="14">
        <v>360</v>
      </c>
      <c r="C38" s="10">
        <v>300</v>
      </c>
      <c r="D38" s="11">
        <v>22.5</v>
      </c>
      <c r="E38" s="11">
        <v>261</v>
      </c>
      <c r="F38" s="11">
        <v>12.5</v>
      </c>
      <c r="G38" s="18">
        <v>181</v>
      </c>
      <c r="H38" s="15">
        <v>142</v>
      </c>
      <c r="I38" s="18">
        <v>43190</v>
      </c>
      <c r="J38" s="11">
        <v>2400</v>
      </c>
      <c r="K38" s="11">
        <v>15.4</v>
      </c>
      <c r="L38" s="11">
        <v>1340</v>
      </c>
      <c r="M38" s="15">
        <v>2680</v>
      </c>
      <c r="N38" s="18">
        <v>10140</v>
      </c>
      <c r="O38" s="11">
        <v>676</v>
      </c>
      <c r="P38" s="11">
        <v>7.48</v>
      </c>
      <c r="Q38" s="11">
        <v>512</v>
      </c>
      <c r="R38" s="15">
        <v>1025</v>
      </c>
      <c r="S38" s="18">
        <v>248</v>
      </c>
      <c r="T38" s="11">
        <v>2883000</v>
      </c>
      <c r="U38" s="16"/>
      <c r="V38" s="9"/>
      <c r="W38" s="17"/>
    </row>
    <row r="39" spans="1:23" x14ac:dyDescent="0.25">
      <c r="A39" s="9" t="s">
        <v>32</v>
      </c>
      <c r="B39" s="14">
        <v>400</v>
      </c>
      <c r="C39" s="10">
        <v>300</v>
      </c>
      <c r="D39" s="11">
        <v>24</v>
      </c>
      <c r="E39" s="11">
        <v>298</v>
      </c>
      <c r="F39" s="11">
        <v>13.5</v>
      </c>
      <c r="G39" s="18">
        <v>198</v>
      </c>
      <c r="H39" s="15">
        <v>155</v>
      </c>
      <c r="I39" s="18">
        <v>57680</v>
      </c>
      <c r="J39" s="11">
        <v>2880</v>
      </c>
      <c r="K39" s="11">
        <v>17.100000000000001</v>
      </c>
      <c r="L39" s="11">
        <v>1620</v>
      </c>
      <c r="M39" s="15">
        <v>3240</v>
      </c>
      <c r="N39" s="18">
        <v>10820</v>
      </c>
      <c r="O39" s="11">
        <v>721</v>
      </c>
      <c r="P39" s="11">
        <v>7.39</v>
      </c>
      <c r="Q39" s="11">
        <v>548</v>
      </c>
      <c r="R39" s="15">
        <v>1096</v>
      </c>
      <c r="S39" s="18">
        <v>305</v>
      </c>
      <c r="T39" s="11">
        <v>3817000</v>
      </c>
      <c r="U39" s="16"/>
      <c r="V39" s="9"/>
      <c r="W39" s="17"/>
    </row>
    <row r="40" spans="1:23" x14ac:dyDescent="0.25">
      <c r="A40" s="9" t="s">
        <v>32</v>
      </c>
      <c r="B40" s="14">
        <v>450</v>
      </c>
      <c r="C40" s="10">
        <v>300</v>
      </c>
      <c r="D40" s="11">
        <v>26</v>
      </c>
      <c r="E40" s="11">
        <v>344</v>
      </c>
      <c r="F40" s="11">
        <v>14</v>
      </c>
      <c r="G40" s="18">
        <v>218</v>
      </c>
      <c r="H40" s="15">
        <v>171</v>
      </c>
      <c r="I40" s="18">
        <v>79890</v>
      </c>
      <c r="J40" s="11">
        <v>3550</v>
      </c>
      <c r="K40" s="11">
        <v>19.100000000000001</v>
      </c>
      <c r="L40" s="11">
        <v>1990</v>
      </c>
      <c r="M40" s="15">
        <v>3980</v>
      </c>
      <c r="N40" s="18">
        <v>11720</v>
      </c>
      <c r="O40" s="11">
        <v>781</v>
      </c>
      <c r="P40" s="11">
        <v>7.33</v>
      </c>
      <c r="Q40" s="11">
        <v>595</v>
      </c>
      <c r="R40" s="15">
        <v>1190</v>
      </c>
      <c r="S40" s="18">
        <v>388</v>
      </c>
      <c r="T40" s="11">
        <v>5258000</v>
      </c>
      <c r="U40" s="16"/>
      <c r="V40" s="9"/>
      <c r="W40" s="17"/>
    </row>
    <row r="41" spans="1:23" x14ac:dyDescent="0.25">
      <c r="A41" s="9" t="s">
        <v>32</v>
      </c>
      <c r="B41" s="14">
        <v>500</v>
      </c>
      <c r="C41" s="10">
        <v>300</v>
      </c>
      <c r="D41" s="11">
        <v>28</v>
      </c>
      <c r="E41" s="11">
        <v>390</v>
      </c>
      <c r="F41" s="11">
        <v>14.5</v>
      </c>
      <c r="G41" s="18">
        <v>239</v>
      </c>
      <c r="H41" s="15">
        <v>187</v>
      </c>
      <c r="I41" s="18">
        <v>107200</v>
      </c>
      <c r="J41" s="11">
        <v>4290</v>
      </c>
      <c r="K41" s="11">
        <v>21.2</v>
      </c>
      <c r="L41" s="11">
        <v>2410</v>
      </c>
      <c r="M41" s="15">
        <v>4820</v>
      </c>
      <c r="N41" s="18">
        <v>12620</v>
      </c>
      <c r="O41" s="11">
        <v>842</v>
      </c>
      <c r="P41" s="11">
        <v>7.27</v>
      </c>
      <c r="Q41" s="11">
        <v>642</v>
      </c>
      <c r="R41" s="15">
        <v>1283</v>
      </c>
      <c r="S41" s="18">
        <v>484</v>
      </c>
      <c r="T41" s="11">
        <v>7018000</v>
      </c>
      <c r="U41" s="16"/>
      <c r="V41" s="9"/>
      <c r="W41" s="17"/>
    </row>
    <row r="42" spans="1:23" x14ac:dyDescent="0.25">
      <c r="A42" s="9" t="s">
        <v>32</v>
      </c>
      <c r="B42" s="14">
        <v>550</v>
      </c>
      <c r="C42" s="10">
        <v>300</v>
      </c>
      <c r="D42" s="11">
        <v>29</v>
      </c>
      <c r="E42" s="11">
        <v>438</v>
      </c>
      <c r="F42" s="11">
        <v>15</v>
      </c>
      <c r="G42" s="18">
        <v>254</v>
      </c>
      <c r="H42" s="15">
        <v>199</v>
      </c>
      <c r="I42" s="18">
        <v>136700</v>
      </c>
      <c r="J42" s="11">
        <v>4970</v>
      </c>
      <c r="K42" s="11">
        <v>23.2</v>
      </c>
      <c r="L42" s="11">
        <v>2800</v>
      </c>
      <c r="M42" s="15">
        <v>5600</v>
      </c>
      <c r="N42" s="18">
        <v>13080</v>
      </c>
      <c r="O42" s="11">
        <v>872</v>
      </c>
      <c r="P42" s="11">
        <v>7.18</v>
      </c>
      <c r="Q42" s="11">
        <v>666</v>
      </c>
      <c r="R42" s="15">
        <v>1333</v>
      </c>
      <c r="S42" s="18">
        <v>543</v>
      </c>
      <c r="T42" s="11">
        <v>8856000</v>
      </c>
      <c r="U42" s="16"/>
      <c r="V42" s="9"/>
      <c r="W42" s="17"/>
    </row>
    <row r="43" spans="1:23" x14ac:dyDescent="0.25">
      <c r="A43" s="9" t="s">
        <v>32</v>
      </c>
      <c r="B43" s="14">
        <v>600</v>
      </c>
      <c r="C43" s="10">
        <v>300</v>
      </c>
      <c r="D43" s="11">
        <v>30</v>
      </c>
      <c r="E43" s="11">
        <v>486</v>
      </c>
      <c r="F43" s="11">
        <v>15.5</v>
      </c>
      <c r="G43" s="18">
        <v>270</v>
      </c>
      <c r="H43" s="15">
        <v>212</v>
      </c>
      <c r="I43" s="18">
        <v>171000</v>
      </c>
      <c r="J43" s="11">
        <v>5700</v>
      </c>
      <c r="K43" s="11">
        <v>25.2</v>
      </c>
      <c r="L43" s="11">
        <v>3210</v>
      </c>
      <c r="M43" s="15">
        <v>6420</v>
      </c>
      <c r="N43" s="18">
        <v>13530</v>
      </c>
      <c r="O43" s="11">
        <v>902</v>
      </c>
      <c r="P43" s="11">
        <v>7.08</v>
      </c>
      <c r="Q43" s="11">
        <v>691</v>
      </c>
      <c r="R43" s="15">
        <v>1382</v>
      </c>
      <c r="S43" s="18">
        <v>607</v>
      </c>
      <c r="T43" s="11">
        <v>10965000</v>
      </c>
      <c r="U43" s="16"/>
      <c r="V43" s="9"/>
      <c r="W43" s="17"/>
    </row>
    <row r="44" spans="1:23" x14ac:dyDescent="0.25">
      <c r="A44" s="9" t="s">
        <v>32</v>
      </c>
      <c r="B44" s="14">
        <v>650</v>
      </c>
      <c r="C44" s="10">
        <v>300</v>
      </c>
      <c r="D44" s="11">
        <v>31</v>
      </c>
      <c r="E44" s="11">
        <v>534</v>
      </c>
      <c r="F44" s="11">
        <v>16</v>
      </c>
      <c r="G44" s="18">
        <v>286</v>
      </c>
      <c r="H44" s="15">
        <v>225</v>
      </c>
      <c r="I44" s="18">
        <v>210600</v>
      </c>
      <c r="J44" s="11">
        <v>6480</v>
      </c>
      <c r="K44" s="11">
        <v>27.1</v>
      </c>
      <c r="L44" s="11">
        <v>3660</v>
      </c>
      <c r="M44" s="15">
        <v>7320</v>
      </c>
      <c r="N44" s="18">
        <v>13980</v>
      </c>
      <c r="O44" s="11">
        <v>932</v>
      </c>
      <c r="P44" s="11">
        <v>6.99</v>
      </c>
      <c r="Q44" s="11">
        <v>716</v>
      </c>
      <c r="R44" s="15">
        <v>1433</v>
      </c>
      <c r="S44" s="18">
        <v>676</v>
      </c>
      <c r="T44" s="11">
        <v>13363000</v>
      </c>
      <c r="U44" s="16"/>
      <c r="V44" s="9"/>
      <c r="W44" s="17"/>
    </row>
    <row r="45" spans="1:23" x14ac:dyDescent="0.25">
      <c r="A45" s="9" t="s">
        <v>32</v>
      </c>
      <c r="B45" s="14">
        <v>700</v>
      </c>
      <c r="C45" s="10">
        <v>300</v>
      </c>
      <c r="D45" s="11">
        <v>32</v>
      </c>
      <c r="E45" s="11">
        <v>582</v>
      </c>
      <c r="F45" s="11">
        <v>17</v>
      </c>
      <c r="G45" s="18">
        <v>306</v>
      </c>
      <c r="H45" s="15">
        <v>241</v>
      </c>
      <c r="I45" s="18">
        <v>256900</v>
      </c>
      <c r="J45" s="11">
        <v>7340</v>
      </c>
      <c r="K45" s="11">
        <v>29</v>
      </c>
      <c r="L45" s="11">
        <v>4160</v>
      </c>
      <c r="M45" s="15">
        <v>8320</v>
      </c>
      <c r="N45" s="18">
        <v>14440</v>
      </c>
      <c r="O45" s="11">
        <v>963</v>
      </c>
      <c r="P45" s="11">
        <v>6.87</v>
      </c>
      <c r="Q45" s="11">
        <v>743</v>
      </c>
      <c r="R45" s="15">
        <v>1486</v>
      </c>
      <c r="S45" s="18">
        <v>760</v>
      </c>
      <c r="T45" s="11">
        <v>16064000</v>
      </c>
      <c r="U45" s="16"/>
      <c r="V45" s="9"/>
      <c r="W45" s="17"/>
    </row>
    <row r="46" spans="1:23" x14ac:dyDescent="0.25">
      <c r="A46" s="9" t="s">
        <v>32</v>
      </c>
      <c r="B46" s="14">
        <v>800</v>
      </c>
      <c r="C46" s="10">
        <v>300</v>
      </c>
      <c r="D46" s="11">
        <v>33</v>
      </c>
      <c r="E46" s="11">
        <v>674</v>
      </c>
      <c r="F46" s="11">
        <v>17.5</v>
      </c>
      <c r="G46" s="18">
        <v>334</v>
      </c>
      <c r="H46" s="15">
        <v>262</v>
      </c>
      <c r="I46" s="18">
        <v>359100</v>
      </c>
      <c r="J46" s="11">
        <v>8980</v>
      </c>
      <c r="K46" s="11">
        <v>32.799999999999997</v>
      </c>
      <c r="L46" s="11">
        <v>5110</v>
      </c>
      <c r="M46" s="15">
        <v>10220</v>
      </c>
      <c r="N46" s="18">
        <v>14900</v>
      </c>
      <c r="O46" s="11">
        <v>994</v>
      </c>
      <c r="P46" s="11">
        <v>6.68</v>
      </c>
      <c r="Q46" s="11">
        <v>771</v>
      </c>
      <c r="R46" s="15">
        <v>1541</v>
      </c>
      <c r="S46" s="18">
        <v>850</v>
      </c>
      <c r="T46" s="11">
        <v>21840000</v>
      </c>
      <c r="U46" s="16"/>
      <c r="V46" s="9"/>
      <c r="W46" s="17"/>
    </row>
    <row r="47" spans="1:23" x14ac:dyDescent="0.25">
      <c r="A47" s="9" t="s">
        <v>32</v>
      </c>
      <c r="B47" s="14">
        <v>900</v>
      </c>
      <c r="C47" s="10">
        <v>300</v>
      </c>
      <c r="D47" s="11">
        <v>35</v>
      </c>
      <c r="E47" s="11">
        <v>770</v>
      </c>
      <c r="F47" s="11">
        <v>18.5</v>
      </c>
      <c r="G47" s="18">
        <v>371</v>
      </c>
      <c r="H47" s="15">
        <v>291</v>
      </c>
      <c r="I47" s="18">
        <v>494100</v>
      </c>
      <c r="J47" s="11">
        <v>10980</v>
      </c>
      <c r="K47" s="11">
        <v>36.5</v>
      </c>
      <c r="L47" s="11">
        <v>6290</v>
      </c>
      <c r="M47" s="15">
        <v>12580</v>
      </c>
      <c r="N47" s="18">
        <v>15820</v>
      </c>
      <c r="O47" s="11">
        <v>1050</v>
      </c>
      <c r="P47" s="11">
        <v>6.53</v>
      </c>
      <c r="Q47" s="11">
        <v>823</v>
      </c>
      <c r="R47" s="15">
        <v>1646</v>
      </c>
      <c r="S47" s="18">
        <v>1033</v>
      </c>
      <c r="T47" s="11">
        <v>29461000</v>
      </c>
      <c r="U47" s="16"/>
      <c r="V47" s="9"/>
      <c r="W47" s="17"/>
    </row>
    <row r="48" spans="1:23" x14ac:dyDescent="0.25">
      <c r="A48" s="9" t="s">
        <v>32</v>
      </c>
      <c r="B48" s="16">
        <v>1000</v>
      </c>
      <c r="C48" s="9">
        <v>300</v>
      </c>
      <c r="D48" s="9">
        <v>36</v>
      </c>
      <c r="E48" s="9">
        <v>868</v>
      </c>
      <c r="F48" s="9">
        <v>19</v>
      </c>
      <c r="G48" s="16">
        <v>400</v>
      </c>
      <c r="H48" s="17">
        <v>314</v>
      </c>
      <c r="I48" s="16">
        <v>644700</v>
      </c>
      <c r="J48" s="9">
        <v>12890</v>
      </c>
      <c r="K48" s="9">
        <v>40.1</v>
      </c>
      <c r="L48" s="9">
        <v>7430</v>
      </c>
      <c r="M48" s="17">
        <v>14860</v>
      </c>
      <c r="N48" s="16">
        <v>16280</v>
      </c>
      <c r="O48" s="9">
        <v>1090</v>
      </c>
      <c r="P48" s="9">
        <v>6.38</v>
      </c>
      <c r="Q48" s="9">
        <v>852</v>
      </c>
      <c r="R48" s="17">
        <v>1704</v>
      </c>
      <c r="S48" s="16">
        <v>1145</v>
      </c>
      <c r="T48" s="9">
        <v>37637000</v>
      </c>
      <c r="U48" s="16"/>
      <c r="V48" s="9"/>
      <c r="W48" s="17"/>
    </row>
    <row r="49" spans="1:23" x14ac:dyDescent="0.25">
      <c r="A49" s="9" t="s">
        <v>34</v>
      </c>
      <c r="B49" s="14">
        <v>96</v>
      </c>
      <c r="C49" s="10">
        <v>100</v>
      </c>
      <c r="D49" s="11">
        <v>8</v>
      </c>
      <c r="E49" s="11">
        <v>56</v>
      </c>
      <c r="F49" s="11">
        <v>5</v>
      </c>
      <c r="G49" s="18">
        <v>21.2</v>
      </c>
      <c r="H49" s="15">
        <v>16.7</v>
      </c>
      <c r="I49" s="18">
        <v>349</v>
      </c>
      <c r="J49" s="11">
        <v>72.8</v>
      </c>
      <c r="K49" s="11">
        <v>4.0599999999999996</v>
      </c>
      <c r="L49" s="11">
        <v>41.5</v>
      </c>
      <c r="M49" s="15">
        <v>83</v>
      </c>
      <c r="N49" s="18">
        <v>134</v>
      </c>
      <c r="O49" s="11">
        <v>26.8</v>
      </c>
      <c r="P49" s="11">
        <v>2.5099999999999998</v>
      </c>
      <c r="Q49" s="11">
        <v>20.3</v>
      </c>
      <c r="R49" s="15">
        <v>40.5</v>
      </c>
      <c r="S49" s="18">
        <v>3.75</v>
      </c>
      <c r="T49" s="11">
        <v>2581</v>
      </c>
      <c r="U49" s="16"/>
      <c r="V49" s="9"/>
      <c r="W49" s="17"/>
    </row>
    <row r="50" spans="1:23" x14ac:dyDescent="0.25">
      <c r="A50" s="9" t="s">
        <v>34</v>
      </c>
      <c r="B50" s="14">
        <v>114</v>
      </c>
      <c r="C50" s="10">
        <v>120</v>
      </c>
      <c r="D50" s="11">
        <v>8</v>
      </c>
      <c r="E50" s="11">
        <v>74</v>
      </c>
      <c r="F50" s="11">
        <v>5</v>
      </c>
      <c r="G50" s="18">
        <v>25.3</v>
      </c>
      <c r="H50" s="15">
        <v>19.899999999999999</v>
      </c>
      <c r="I50" s="18">
        <v>606</v>
      </c>
      <c r="J50" s="11">
        <v>106</v>
      </c>
      <c r="K50" s="11">
        <v>4.8899999999999997</v>
      </c>
      <c r="L50" s="11">
        <v>59.7</v>
      </c>
      <c r="M50" s="15">
        <v>119</v>
      </c>
      <c r="N50" s="18">
        <v>231</v>
      </c>
      <c r="O50" s="11">
        <v>38.5</v>
      </c>
      <c r="P50" s="11">
        <v>3.02</v>
      </c>
      <c r="Q50" s="11">
        <v>29.1</v>
      </c>
      <c r="R50" s="15">
        <v>58.2</v>
      </c>
      <c r="S50" s="18">
        <v>4.5</v>
      </c>
      <c r="T50" s="11">
        <v>6472</v>
      </c>
      <c r="U50" s="16"/>
      <c r="V50" s="9"/>
      <c r="W50" s="17"/>
    </row>
    <row r="51" spans="1:23" x14ac:dyDescent="0.25">
      <c r="A51" s="9" t="s">
        <v>34</v>
      </c>
      <c r="B51" s="14">
        <v>133</v>
      </c>
      <c r="C51" s="10">
        <v>140</v>
      </c>
      <c r="D51" s="11">
        <v>8.5</v>
      </c>
      <c r="E51" s="11">
        <v>92</v>
      </c>
      <c r="F51" s="11">
        <v>5.5</v>
      </c>
      <c r="G51" s="18">
        <v>31.4</v>
      </c>
      <c r="H51" s="15">
        <v>24.7</v>
      </c>
      <c r="I51" s="18">
        <v>1030</v>
      </c>
      <c r="J51" s="11">
        <v>155</v>
      </c>
      <c r="K51" s="11">
        <v>5.73</v>
      </c>
      <c r="L51" s="11">
        <v>86.7</v>
      </c>
      <c r="M51" s="15">
        <v>173</v>
      </c>
      <c r="N51" s="18">
        <v>389</v>
      </c>
      <c r="O51" s="11">
        <v>55.6</v>
      </c>
      <c r="P51" s="11">
        <v>3.52</v>
      </c>
      <c r="Q51" s="11">
        <v>42.1</v>
      </c>
      <c r="R51" s="15">
        <v>84.2</v>
      </c>
      <c r="S51" s="18">
        <v>6.38</v>
      </c>
      <c r="T51" s="11">
        <v>15060</v>
      </c>
      <c r="U51" s="16"/>
      <c r="V51" s="9"/>
      <c r="W51" s="17"/>
    </row>
    <row r="52" spans="1:23" x14ac:dyDescent="0.25">
      <c r="A52" s="9" t="s">
        <v>34</v>
      </c>
      <c r="B52" s="14">
        <v>152</v>
      </c>
      <c r="C52" s="10">
        <v>160</v>
      </c>
      <c r="D52" s="11">
        <v>9</v>
      </c>
      <c r="E52" s="11">
        <v>104</v>
      </c>
      <c r="F52" s="11">
        <v>6</v>
      </c>
      <c r="G52" s="18">
        <v>38.799999999999997</v>
      </c>
      <c r="H52" s="15">
        <v>30.4</v>
      </c>
      <c r="I52" s="18">
        <v>1670</v>
      </c>
      <c r="J52" s="11">
        <v>220</v>
      </c>
      <c r="K52" s="11">
        <v>6.56</v>
      </c>
      <c r="L52" s="11">
        <v>123</v>
      </c>
      <c r="M52" s="15">
        <v>246</v>
      </c>
      <c r="N52" s="18">
        <v>616</v>
      </c>
      <c r="O52" s="11">
        <v>77</v>
      </c>
      <c r="P52" s="11">
        <v>3.98</v>
      </c>
      <c r="Q52" s="11">
        <v>58.2</v>
      </c>
      <c r="R52" s="15">
        <v>116</v>
      </c>
      <c r="S52" s="18">
        <v>8.74</v>
      </c>
      <c r="T52" s="11">
        <v>31410</v>
      </c>
      <c r="U52" s="16"/>
      <c r="V52" s="9"/>
      <c r="W52" s="17"/>
    </row>
    <row r="53" spans="1:23" x14ac:dyDescent="0.25">
      <c r="A53" s="9" t="s">
        <v>34</v>
      </c>
      <c r="B53" s="14">
        <v>171</v>
      </c>
      <c r="C53" s="10">
        <v>180</v>
      </c>
      <c r="D53" s="11">
        <v>9.5</v>
      </c>
      <c r="E53" s="11">
        <v>122</v>
      </c>
      <c r="F53" s="11">
        <v>6</v>
      </c>
      <c r="G53" s="18">
        <v>45.3</v>
      </c>
      <c r="H53" s="15">
        <v>35.5</v>
      </c>
      <c r="I53" s="18">
        <v>2510</v>
      </c>
      <c r="J53" s="11">
        <v>294</v>
      </c>
      <c r="K53" s="11">
        <v>7.44</v>
      </c>
      <c r="L53" s="11">
        <v>162</v>
      </c>
      <c r="M53" s="15">
        <v>324</v>
      </c>
      <c r="N53" s="18">
        <v>925</v>
      </c>
      <c r="O53" s="11">
        <v>103</v>
      </c>
      <c r="P53" s="11">
        <v>4.5199999999999996</v>
      </c>
      <c r="Q53" s="11">
        <v>77.599999999999994</v>
      </c>
      <c r="R53" s="15">
        <v>155</v>
      </c>
      <c r="S53" s="18">
        <v>11.4</v>
      </c>
      <c r="T53" s="11">
        <v>60210</v>
      </c>
      <c r="U53" s="16"/>
      <c r="V53" s="9"/>
      <c r="W53" s="17"/>
    </row>
    <row r="54" spans="1:23" x14ac:dyDescent="0.25">
      <c r="A54" s="9" t="s">
        <v>34</v>
      </c>
      <c r="B54" s="14">
        <v>190</v>
      </c>
      <c r="C54" s="10">
        <v>200</v>
      </c>
      <c r="D54" s="11">
        <v>10</v>
      </c>
      <c r="E54" s="11">
        <v>134</v>
      </c>
      <c r="F54" s="11">
        <v>6.5</v>
      </c>
      <c r="G54" s="18">
        <v>53.8</v>
      </c>
      <c r="H54" s="15">
        <v>42.3</v>
      </c>
      <c r="I54" s="18">
        <v>3690</v>
      </c>
      <c r="J54" s="11">
        <v>389</v>
      </c>
      <c r="K54" s="11">
        <v>8.2799999999999994</v>
      </c>
      <c r="L54" s="11">
        <v>215</v>
      </c>
      <c r="M54" s="15">
        <v>430</v>
      </c>
      <c r="N54" s="18">
        <v>1340</v>
      </c>
      <c r="O54" s="11">
        <v>134</v>
      </c>
      <c r="P54" s="11">
        <v>4.99</v>
      </c>
      <c r="Q54" s="11">
        <v>101</v>
      </c>
      <c r="R54" s="15">
        <v>202</v>
      </c>
      <c r="S54" s="18">
        <v>14.9</v>
      </c>
      <c r="T54" s="11">
        <v>108000</v>
      </c>
      <c r="U54" s="16"/>
      <c r="V54" s="9"/>
      <c r="W54" s="17"/>
    </row>
    <row r="55" spans="1:23" x14ac:dyDescent="0.25">
      <c r="A55" s="9" t="s">
        <v>34</v>
      </c>
      <c r="B55" s="14">
        <v>210</v>
      </c>
      <c r="C55" s="10">
        <v>220</v>
      </c>
      <c r="D55" s="11">
        <v>11</v>
      </c>
      <c r="E55" s="11">
        <v>152</v>
      </c>
      <c r="F55" s="11">
        <v>7</v>
      </c>
      <c r="G55" s="18">
        <v>64.3</v>
      </c>
      <c r="H55" s="15">
        <v>50.5</v>
      </c>
      <c r="I55" s="18">
        <v>5410</v>
      </c>
      <c r="J55" s="11">
        <v>515</v>
      </c>
      <c r="K55" s="11">
        <v>9.17</v>
      </c>
      <c r="L55" s="11">
        <v>284</v>
      </c>
      <c r="M55" s="15">
        <v>568</v>
      </c>
      <c r="N55" s="18">
        <v>1950</v>
      </c>
      <c r="O55" s="11">
        <v>177</v>
      </c>
      <c r="P55" s="11">
        <v>5.51</v>
      </c>
      <c r="Q55" s="11">
        <v>134</v>
      </c>
      <c r="R55" s="15">
        <v>269</v>
      </c>
      <c r="S55" s="18">
        <v>21.7</v>
      </c>
      <c r="T55" s="11">
        <v>193300</v>
      </c>
      <c r="U55" s="16"/>
      <c r="V55" s="9"/>
      <c r="W55" s="17"/>
    </row>
    <row r="56" spans="1:23" x14ac:dyDescent="0.25">
      <c r="A56" s="9" t="s">
        <v>34</v>
      </c>
      <c r="B56" s="14">
        <v>230</v>
      </c>
      <c r="C56" s="10">
        <v>240</v>
      </c>
      <c r="D56" s="11">
        <v>12</v>
      </c>
      <c r="E56" s="11">
        <v>164</v>
      </c>
      <c r="F56" s="11">
        <v>7.5</v>
      </c>
      <c r="G56" s="18">
        <v>76.8</v>
      </c>
      <c r="H56" s="15">
        <v>60.3</v>
      </c>
      <c r="I56" s="18">
        <v>7760</v>
      </c>
      <c r="J56" s="11">
        <v>675</v>
      </c>
      <c r="K56" s="11">
        <v>10.1</v>
      </c>
      <c r="L56" s="11">
        <v>372</v>
      </c>
      <c r="M56" s="15">
        <v>744</v>
      </c>
      <c r="N56" s="18">
        <v>2770</v>
      </c>
      <c r="O56" s="11">
        <v>231</v>
      </c>
      <c r="P56" s="11">
        <v>6.01</v>
      </c>
      <c r="Q56" s="11">
        <v>174</v>
      </c>
      <c r="R56" s="15">
        <v>348</v>
      </c>
      <c r="S56" s="18">
        <v>30.5</v>
      </c>
      <c r="T56" s="11">
        <v>328500</v>
      </c>
      <c r="U56" s="16"/>
      <c r="V56" s="9"/>
      <c r="W56" s="17"/>
    </row>
    <row r="57" spans="1:23" x14ac:dyDescent="0.25">
      <c r="A57" s="9" t="s">
        <v>34</v>
      </c>
      <c r="B57" s="14">
        <v>250</v>
      </c>
      <c r="C57" s="10">
        <v>260</v>
      </c>
      <c r="D57" s="11">
        <v>12.5</v>
      </c>
      <c r="E57" s="11">
        <v>177</v>
      </c>
      <c r="F57" s="11">
        <v>7.5</v>
      </c>
      <c r="G57" s="18">
        <v>86.8</v>
      </c>
      <c r="H57" s="15">
        <v>68.2</v>
      </c>
      <c r="I57" s="18">
        <v>10450</v>
      </c>
      <c r="J57" s="11">
        <v>836</v>
      </c>
      <c r="K57" s="11">
        <v>11</v>
      </c>
      <c r="L57" s="11">
        <v>460</v>
      </c>
      <c r="M57" s="15">
        <v>920</v>
      </c>
      <c r="N57" s="18">
        <v>3679</v>
      </c>
      <c r="O57" s="11">
        <v>283</v>
      </c>
      <c r="P57" s="11">
        <v>6.51</v>
      </c>
      <c r="Q57" s="11">
        <v>213</v>
      </c>
      <c r="R57" s="15">
        <v>426</v>
      </c>
      <c r="S57" s="18">
        <v>37</v>
      </c>
      <c r="T57" s="11">
        <v>516400</v>
      </c>
      <c r="U57" s="16"/>
      <c r="V57" s="9"/>
      <c r="W57" s="17"/>
    </row>
    <row r="58" spans="1:23" x14ac:dyDescent="0.25">
      <c r="A58" s="9" t="s">
        <v>34</v>
      </c>
      <c r="B58" s="14">
        <v>270</v>
      </c>
      <c r="C58" s="10">
        <v>280</v>
      </c>
      <c r="D58" s="11">
        <v>13</v>
      </c>
      <c r="E58" s="11">
        <v>196</v>
      </c>
      <c r="F58" s="11">
        <v>8</v>
      </c>
      <c r="G58" s="18">
        <v>97.3</v>
      </c>
      <c r="H58" s="15">
        <v>76.400000000000006</v>
      </c>
      <c r="I58" s="18">
        <v>13670</v>
      </c>
      <c r="J58" s="11">
        <v>1010</v>
      </c>
      <c r="K58" s="11">
        <v>11.9</v>
      </c>
      <c r="L58" s="11">
        <v>556</v>
      </c>
      <c r="M58" s="15">
        <v>1112</v>
      </c>
      <c r="N58" s="18">
        <v>4760</v>
      </c>
      <c r="O58" s="11">
        <v>340</v>
      </c>
      <c r="P58" s="11">
        <v>6.99</v>
      </c>
      <c r="Q58" s="11">
        <v>257</v>
      </c>
      <c r="R58" s="15">
        <v>514</v>
      </c>
      <c r="S58" s="18">
        <v>45.2</v>
      </c>
      <c r="T58" s="11">
        <v>785400</v>
      </c>
      <c r="U58" s="16"/>
      <c r="V58" s="9"/>
      <c r="W58" s="17"/>
    </row>
    <row r="59" spans="1:23" x14ac:dyDescent="0.25">
      <c r="A59" s="9" t="s">
        <v>34</v>
      </c>
      <c r="B59" s="14">
        <v>290</v>
      </c>
      <c r="C59" s="10">
        <v>300</v>
      </c>
      <c r="D59" s="11">
        <v>14</v>
      </c>
      <c r="E59" s="11">
        <v>208</v>
      </c>
      <c r="F59" s="11">
        <v>8.5</v>
      </c>
      <c r="G59" s="18">
        <v>113</v>
      </c>
      <c r="H59" s="15">
        <v>88.3</v>
      </c>
      <c r="I59" s="18">
        <v>18260</v>
      </c>
      <c r="J59" s="11">
        <v>1260</v>
      </c>
      <c r="K59" s="11">
        <v>12.8</v>
      </c>
      <c r="L59" s="11">
        <v>692</v>
      </c>
      <c r="M59" s="15">
        <v>1384</v>
      </c>
      <c r="N59" s="18">
        <v>6310</v>
      </c>
      <c r="O59" s="11">
        <v>421</v>
      </c>
      <c r="P59" s="11">
        <v>7.51</v>
      </c>
      <c r="Q59" s="11">
        <v>317</v>
      </c>
      <c r="R59" s="15">
        <v>635</v>
      </c>
      <c r="S59" s="18">
        <v>60.2</v>
      </c>
      <c r="T59" s="11">
        <v>1200000</v>
      </c>
      <c r="U59" s="16"/>
      <c r="V59" s="9"/>
      <c r="W59" s="17"/>
    </row>
    <row r="60" spans="1:23" x14ac:dyDescent="0.25">
      <c r="A60" s="9" t="s">
        <v>34</v>
      </c>
      <c r="B60" s="14">
        <v>310</v>
      </c>
      <c r="C60" s="10">
        <v>300</v>
      </c>
      <c r="D60" s="11">
        <v>15.5</v>
      </c>
      <c r="E60" s="11">
        <v>225</v>
      </c>
      <c r="F60" s="11">
        <v>9</v>
      </c>
      <c r="G60" s="18">
        <v>124</v>
      </c>
      <c r="H60" s="15">
        <v>97.6</v>
      </c>
      <c r="I60" s="18">
        <v>22930</v>
      </c>
      <c r="J60" s="11">
        <v>1480</v>
      </c>
      <c r="K60" s="11">
        <v>13.6</v>
      </c>
      <c r="L60" s="11">
        <v>814</v>
      </c>
      <c r="M60" s="15">
        <v>1628</v>
      </c>
      <c r="N60" s="18">
        <v>6990</v>
      </c>
      <c r="O60" s="11">
        <v>466</v>
      </c>
      <c r="P60" s="11">
        <v>7.51</v>
      </c>
      <c r="Q60" s="11">
        <v>352</v>
      </c>
      <c r="R60" s="15">
        <v>703</v>
      </c>
      <c r="S60" s="18">
        <v>81.3</v>
      </c>
      <c r="T60" s="11">
        <v>1512000</v>
      </c>
      <c r="U60" s="16"/>
      <c r="V60" s="9"/>
      <c r="W60" s="17"/>
    </row>
    <row r="61" spans="1:23" x14ac:dyDescent="0.25">
      <c r="A61" s="9" t="s">
        <v>34</v>
      </c>
      <c r="B61" s="14">
        <v>330</v>
      </c>
      <c r="C61" s="10">
        <v>300</v>
      </c>
      <c r="D61" s="11">
        <v>16.5</v>
      </c>
      <c r="E61" s="11">
        <v>243</v>
      </c>
      <c r="F61" s="11">
        <v>9.5</v>
      </c>
      <c r="G61" s="18">
        <v>133</v>
      </c>
      <c r="H61" s="15">
        <v>105</v>
      </c>
      <c r="I61" s="18">
        <v>27690</v>
      </c>
      <c r="J61" s="11">
        <v>1680</v>
      </c>
      <c r="K61" s="11">
        <v>14.4</v>
      </c>
      <c r="L61" s="11">
        <v>925</v>
      </c>
      <c r="M61" s="15">
        <v>1850</v>
      </c>
      <c r="N61" s="18">
        <v>7440</v>
      </c>
      <c r="O61" s="11">
        <v>496</v>
      </c>
      <c r="P61" s="11">
        <v>7.48</v>
      </c>
      <c r="Q61" s="11">
        <v>375</v>
      </c>
      <c r="R61" s="15">
        <v>749</v>
      </c>
      <c r="S61" s="18">
        <v>98.3</v>
      </c>
      <c r="T61" s="11">
        <v>1824000</v>
      </c>
      <c r="U61" s="16"/>
      <c r="V61" s="9"/>
      <c r="W61" s="17"/>
    </row>
    <row r="62" spans="1:23" x14ac:dyDescent="0.25">
      <c r="A62" s="9" t="s">
        <v>34</v>
      </c>
      <c r="B62" s="14">
        <v>350</v>
      </c>
      <c r="C62" s="10">
        <v>300</v>
      </c>
      <c r="D62" s="11">
        <v>17.5</v>
      </c>
      <c r="E62" s="11">
        <v>261</v>
      </c>
      <c r="F62" s="11">
        <v>10</v>
      </c>
      <c r="G62" s="18">
        <v>143</v>
      </c>
      <c r="H62" s="15">
        <v>112</v>
      </c>
      <c r="I62" s="18">
        <v>33090</v>
      </c>
      <c r="J62" s="11">
        <v>1890</v>
      </c>
      <c r="K62" s="11">
        <v>15.2</v>
      </c>
      <c r="L62" s="11">
        <v>1040</v>
      </c>
      <c r="M62" s="15">
        <v>2080</v>
      </c>
      <c r="N62" s="18">
        <v>7890</v>
      </c>
      <c r="O62" s="11">
        <v>526</v>
      </c>
      <c r="P62" s="11">
        <v>7.43</v>
      </c>
      <c r="Q62" s="11">
        <v>398</v>
      </c>
      <c r="R62" s="15">
        <v>795</v>
      </c>
      <c r="S62" s="18">
        <v>118</v>
      </c>
      <c r="T62" s="11">
        <v>2177000</v>
      </c>
      <c r="U62" s="16"/>
      <c r="V62" s="9"/>
      <c r="W62" s="17"/>
    </row>
    <row r="63" spans="1:23" x14ac:dyDescent="0.25">
      <c r="A63" s="9" t="s">
        <v>34</v>
      </c>
      <c r="B63" s="14">
        <v>390</v>
      </c>
      <c r="C63" s="10">
        <v>300</v>
      </c>
      <c r="D63" s="11">
        <v>19</v>
      </c>
      <c r="E63" s="11">
        <v>298</v>
      </c>
      <c r="F63" s="11">
        <v>11</v>
      </c>
      <c r="G63" s="18">
        <v>159</v>
      </c>
      <c r="H63" s="15">
        <v>125</v>
      </c>
      <c r="I63" s="18">
        <v>45070</v>
      </c>
      <c r="J63" s="11">
        <v>2310</v>
      </c>
      <c r="K63" s="11">
        <v>16.8</v>
      </c>
      <c r="L63" s="11">
        <v>1280</v>
      </c>
      <c r="M63" s="15">
        <v>2560</v>
      </c>
      <c r="N63" s="18">
        <v>8560</v>
      </c>
      <c r="O63" s="11">
        <v>571</v>
      </c>
      <c r="P63" s="11">
        <v>7.34</v>
      </c>
      <c r="Q63" s="11">
        <v>433</v>
      </c>
      <c r="R63" s="15">
        <v>866</v>
      </c>
      <c r="S63" s="18">
        <v>153</v>
      </c>
      <c r="T63" s="11">
        <v>2942000</v>
      </c>
      <c r="U63" s="16"/>
      <c r="V63" s="9"/>
      <c r="W63" s="17"/>
    </row>
    <row r="64" spans="1:23" x14ac:dyDescent="0.25">
      <c r="A64" s="9" t="s">
        <v>34</v>
      </c>
      <c r="B64" s="14">
        <v>440</v>
      </c>
      <c r="C64" s="10">
        <v>300</v>
      </c>
      <c r="D64" s="11">
        <v>21</v>
      </c>
      <c r="E64" s="11">
        <v>344</v>
      </c>
      <c r="F64" s="11">
        <v>11.5</v>
      </c>
      <c r="G64" s="18">
        <v>178</v>
      </c>
      <c r="H64" s="15">
        <v>140</v>
      </c>
      <c r="I64" s="18">
        <v>63720</v>
      </c>
      <c r="J64" s="11">
        <v>2900</v>
      </c>
      <c r="K64" s="11">
        <v>18.899999999999999</v>
      </c>
      <c r="L64" s="11">
        <v>1610</v>
      </c>
      <c r="M64" s="15">
        <v>3220</v>
      </c>
      <c r="N64" s="18">
        <v>9470</v>
      </c>
      <c r="O64" s="11">
        <v>631</v>
      </c>
      <c r="P64" s="11">
        <v>7.29</v>
      </c>
      <c r="Q64" s="11">
        <v>479</v>
      </c>
      <c r="R64" s="15">
        <v>958</v>
      </c>
      <c r="S64" s="18">
        <v>205</v>
      </c>
      <c r="T64" s="11">
        <v>4148000</v>
      </c>
      <c r="U64" s="16"/>
      <c r="V64" s="9"/>
      <c r="W64" s="17"/>
    </row>
    <row r="65" spans="1:23" x14ac:dyDescent="0.25">
      <c r="A65" s="9" t="s">
        <v>34</v>
      </c>
      <c r="B65" s="14">
        <v>490</v>
      </c>
      <c r="C65" s="10">
        <v>300</v>
      </c>
      <c r="D65" s="11">
        <v>23</v>
      </c>
      <c r="E65" s="11">
        <v>390</v>
      </c>
      <c r="F65" s="11">
        <v>12</v>
      </c>
      <c r="G65" s="18">
        <v>198</v>
      </c>
      <c r="H65" s="15">
        <v>155</v>
      </c>
      <c r="I65" s="18">
        <v>86970</v>
      </c>
      <c r="J65" s="11">
        <v>3550</v>
      </c>
      <c r="K65" s="11">
        <v>21</v>
      </c>
      <c r="L65" s="11">
        <v>1970</v>
      </c>
      <c r="M65" s="15">
        <v>3940</v>
      </c>
      <c r="N65" s="18">
        <v>10370</v>
      </c>
      <c r="O65" s="11">
        <v>691</v>
      </c>
      <c r="P65" s="11">
        <v>7.24</v>
      </c>
      <c r="Q65" s="11">
        <v>525</v>
      </c>
      <c r="R65" s="15">
        <v>1051</v>
      </c>
      <c r="S65" s="18">
        <v>269</v>
      </c>
      <c r="T65" s="11">
        <v>5643000</v>
      </c>
      <c r="U65" s="16"/>
      <c r="V65" s="9"/>
      <c r="W65" s="17"/>
    </row>
    <row r="66" spans="1:23" x14ac:dyDescent="0.25">
      <c r="A66" s="9" t="s">
        <v>34</v>
      </c>
      <c r="B66" s="14">
        <v>540</v>
      </c>
      <c r="C66" s="10">
        <v>300</v>
      </c>
      <c r="D66" s="11">
        <v>24</v>
      </c>
      <c r="E66" s="11">
        <v>438</v>
      </c>
      <c r="F66" s="11">
        <v>12.5</v>
      </c>
      <c r="G66" s="18">
        <v>212</v>
      </c>
      <c r="H66" s="15">
        <v>166</v>
      </c>
      <c r="I66" s="18">
        <v>111900</v>
      </c>
      <c r="J66" s="11">
        <v>4150</v>
      </c>
      <c r="K66" s="11">
        <v>23</v>
      </c>
      <c r="L66" s="11">
        <v>2310</v>
      </c>
      <c r="M66" s="15">
        <v>4620</v>
      </c>
      <c r="N66" s="18">
        <v>10829</v>
      </c>
      <c r="O66" s="11">
        <v>722</v>
      </c>
      <c r="P66" s="11">
        <v>7.15</v>
      </c>
      <c r="Q66" s="11">
        <v>550</v>
      </c>
      <c r="R66" s="15">
        <v>1099</v>
      </c>
      <c r="S66" s="18">
        <v>309</v>
      </c>
      <c r="T66" s="11">
        <v>7189000</v>
      </c>
      <c r="U66" s="16"/>
      <c r="V66" s="9"/>
      <c r="W66" s="17"/>
    </row>
    <row r="67" spans="1:23" x14ac:dyDescent="0.25">
      <c r="A67" s="9" t="s">
        <v>34</v>
      </c>
      <c r="B67" s="14">
        <v>590</v>
      </c>
      <c r="C67" s="10">
        <v>300</v>
      </c>
      <c r="D67" s="11">
        <v>25</v>
      </c>
      <c r="E67" s="11">
        <v>486</v>
      </c>
      <c r="F67" s="11">
        <v>13</v>
      </c>
      <c r="G67" s="18">
        <v>226</v>
      </c>
      <c r="H67" s="15">
        <v>178</v>
      </c>
      <c r="I67" s="18">
        <v>141200</v>
      </c>
      <c r="J67" s="11">
        <v>4790</v>
      </c>
      <c r="K67" s="11">
        <v>25</v>
      </c>
      <c r="L67" s="11">
        <v>2680</v>
      </c>
      <c r="M67" s="15">
        <v>5360</v>
      </c>
      <c r="N67" s="18">
        <v>11270</v>
      </c>
      <c r="O67" s="11">
        <v>751</v>
      </c>
      <c r="P67" s="11">
        <v>7.06</v>
      </c>
      <c r="Q67" s="11">
        <v>574</v>
      </c>
      <c r="R67" s="15">
        <v>1148</v>
      </c>
      <c r="S67" s="18">
        <v>352</v>
      </c>
      <c r="T67" s="11">
        <v>8978000</v>
      </c>
      <c r="U67" s="16"/>
      <c r="V67" s="9"/>
      <c r="W67" s="17"/>
    </row>
    <row r="68" spans="1:23" x14ac:dyDescent="0.25">
      <c r="A68" s="9" t="s">
        <v>34</v>
      </c>
      <c r="B68" s="14">
        <v>640</v>
      </c>
      <c r="C68" s="10">
        <v>300</v>
      </c>
      <c r="D68" s="11">
        <v>26</v>
      </c>
      <c r="E68" s="11">
        <v>534</v>
      </c>
      <c r="F68" s="11">
        <v>13.5</v>
      </c>
      <c r="G68" s="18">
        <v>242</v>
      </c>
      <c r="H68" s="15">
        <v>190</v>
      </c>
      <c r="I68" s="18">
        <v>175200</v>
      </c>
      <c r="J68" s="11">
        <v>5470</v>
      </c>
      <c r="K68" s="11">
        <v>26.9</v>
      </c>
      <c r="L68" s="11">
        <v>3070</v>
      </c>
      <c r="M68" s="15">
        <v>6140</v>
      </c>
      <c r="N68" s="18">
        <v>11720</v>
      </c>
      <c r="O68" s="11">
        <v>781</v>
      </c>
      <c r="P68" s="11">
        <v>6.96</v>
      </c>
      <c r="Q68" s="11">
        <v>598</v>
      </c>
      <c r="R68" s="15">
        <v>1197</v>
      </c>
      <c r="S68" s="18">
        <v>400</v>
      </c>
      <c r="T68" s="11">
        <v>11027000</v>
      </c>
      <c r="U68" s="16"/>
      <c r="V68" s="9"/>
      <c r="W68" s="17"/>
    </row>
    <row r="69" spans="1:23" x14ac:dyDescent="0.25">
      <c r="A69" s="9" t="s">
        <v>34</v>
      </c>
      <c r="B69" s="14">
        <v>690</v>
      </c>
      <c r="C69" s="10">
        <v>300</v>
      </c>
      <c r="D69" s="11">
        <v>27</v>
      </c>
      <c r="E69" s="11">
        <v>582</v>
      </c>
      <c r="F69" s="11">
        <v>14.5</v>
      </c>
      <c r="G69" s="18">
        <v>260</v>
      </c>
      <c r="H69" s="15">
        <v>204</v>
      </c>
      <c r="I69" s="18">
        <v>215300</v>
      </c>
      <c r="J69" s="11">
        <v>6240</v>
      </c>
      <c r="K69" s="11">
        <v>28.8</v>
      </c>
      <c r="L69" s="11">
        <v>3520</v>
      </c>
      <c r="M69" s="15">
        <v>7040</v>
      </c>
      <c r="N69" s="18">
        <v>12180</v>
      </c>
      <c r="O69" s="11">
        <v>812</v>
      </c>
      <c r="P69" s="11">
        <v>6.84</v>
      </c>
      <c r="Q69" s="11">
        <v>624</v>
      </c>
      <c r="R69" s="15">
        <v>1248</v>
      </c>
      <c r="S69" s="18">
        <v>458</v>
      </c>
      <c r="T69" s="11">
        <v>13352000</v>
      </c>
      <c r="U69" s="16"/>
      <c r="V69" s="9"/>
      <c r="W69" s="17"/>
    </row>
    <row r="70" spans="1:23" x14ac:dyDescent="0.25">
      <c r="A70" s="9" t="s">
        <v>34</v>
      </c>
      <c r="B70" s="14">
        <v>790</v>
      </c>
      <c r="C70" s="10">
        <v>300</v>
      </c>
      <c r="D70" s="11">
        <v>28</v>
      </c>
      <c r="E70" s="11">
        <v>674</v>
      </c>
      <c r="F70" s="11">
        <v>15</v>
      </c>
      <c r="G70" s="18">
        <v>286</v>
      </c>
      <c r="H70" s="15">
        <v>224</v>
      </c>
      <c r="I70" s="18">
        <v>303400</v>
      </c>
      <c r="J70" s="11">
        <v>7680</v>
      </c>
      <c r="K70" s="11">
        <v>32.6</v>
      </c>
      <c r="L70" s="11">
        <v>4350</v>
      </c>
      <c r="M70" s="15">
        <v>8700</v>
      </c>
      <c r="N70" s="18">
        <v>12640</v>
      </c>
      <c r="O70" s="11">
        <v>843</v>
      </c>
      <c r="P70" s="11">
        <v>6.65</v>
      </c>
      <c r="Q70" s="11">
        <v>651</v>
      </c>
      <c r="R70" s="15">
        <v>1301</v>
      </c>
      <c r="S70" s="18">
        <v>522</v>
      </c>
      <c r="T70" s="11">
        <v>18290000</v>
      </c>
      <c r="U70" s="16"/>
      <c r="V70" s="9"/>
      <c r="W70" s="17"/>
    </row>
    <row r="71" spans="1:23" x14ac:dyDescent="0.25">
      <c r="A71" s="9" t="s">
        <v>34</v>
      </c>
      <c r="B71" s="14">
        <v>890</v>
      </c>
      <c r="C71" s="10">
        <v>300</v>
      </c>
      <c r="D71" s="11">
        <v>30</v>
      </c>
      <c r="E71" s="11">
        <v>770</v>
      </c>
      <c r="F71" s="11">
        <v>16</v>
      </c>
      <c r="G71" s="18">
        <v>320</v>
      </c>
      <c r="H71" s="15">
        <v>252</v>
      </c>
      <c r="I71" s="18">
        <v>422100</v>
      </c>
      <c r="J71" s="11">
        <v>9480</v>
      </c>
      <c r="K71" s="11">
        <v>36.299999999999997</v>
      </c>
      <c r="L71" s="11">
        <v>5410</v>
      </c>
      <c r="M71" s="15">
        <v>10820</v>
      </c>
      <c r="N71" s="18">
        <v>13550</v>
      </c>
      <c r="O71" s="11">
        <v>903</v>
      </c>
      <c r="P71" s="11">
        <v>6.51</v>
      </c>
      <c r="Q71" s="11">
        <v>702</v>
      </c>
      <c r="R71" s="15">
        <v>1403</v>
      </c>
      <c r="S71" s="18">
        <v>653</v>
      </c>
      <c r="T71" s="11">
        <v>24962000</v>
      </c>
      <c r="U71" s="16"/>
      <c r="V71" s="9"/>
      <c r="W71" s="17"/>
    </row>
    <row r="72" spans="1:23" x14ac:dyDescent="0.25">
      <c r="A72" s="9" t="s">
        <v>34</v>
      </c>
      <c r="B72" s="16">
        <v>990</v>
      </c>
      <c r="C72" s="9">
        <v>300</v>
      </c>
      <c r="D72" s="9">
        <v>31</v>
      </c>
      <c r="E72" s="9">
        <v>868</v>
      </c>
      <c r="F72" s="9">
        <v>16.5</v>
      </c>
      <c r="G72" s="16">
        <v>347</v>
      </c>
      <c r="H72" s="17">
        <v>272</v>
      </c>
      <c r="I72" s="16">
        <v>553800</v>
      </c>
      <c r="J72" s="9">
        <v>11490</v>
      </c>
      <c r="K72" s="9">
        <v>39.9</v>
      </c>
      <c r="L72" s="9">
        <v>6410</v>
      </c>
      <c r="M72" s="17">
        <v>12820</v>
      </c>
      <c r="N72" s="16">
        <v>14000</v>
      </c>
      <c r="O72" s="9">
        <v>933</v>
      </c>
      <c r="P72" s="9">
        <v>6.35</v>
      </c>
      <c r="Q72" s="9">
        <v>729</v>
      </c>
      <c r="R72" s="17">
        <v>1458</v>
      </c>
      <c r="S72" s="16">
        <v>735</v>
      </c>
      <c r="T72" s="9">
        <v>32074000</v>
      </c>
      <c r="U72" s="16"/>
      <c r="V72" s="9"/>
      <c r="W72" s="17"/>
    </row>
    <row r="73" spans="1:23" x14ac:dyDescent="0.25">
      <c r="A73" s="9" t="s">
        <v>35</v>
      </c>
      <c r="B73" s="14">
        <v>120</v>
      </c>
      <c r="C73" s="10">
        <v>106</v>
      </c>
      <c r="D73" s="11">
        <v>20</v>
      </c>
      <c r="E73" s="11">
        <v>56</v>
      </c>
      <c r="F73" s="11">
        <v>12</v>
      </c>
      <c r="G73" s="18">
        <v>53.2</v>
      </c>
      <c r="H73" s="15">
        <v>41.8</v>
      </c>
      <c r="I73" s="18">
        <v>1140</v>
      </c>
      <c r="J73" s="11">
        <v>190</v>
      </c>
      <c r="K73" s="11">
        <v>4.63</v>
      </c>
      <c r="L73" s="11">
        <v>118</v>
      </c>
      <c r="M73" s="15">
        <v>236</v>
      </c>
      <c r="N73" s="18">
        <v>399</v>
      </c>
      <c r="O73" s="11">
        <v>75.3</v>
      </c>
      <c r="P73" s="11">
        <v>2.74</v>
      </c>
      <c r="Q73" s="11">
        <v>57.6</v>
      </c>
      <c r="R73" s="15">
        <v>115</v>
      </c>
      <c r="S73" s="18">
        <v>61.1</v>
      </c>
      <c r="T73" s="11">
        <v>9925</v>
      </c>
      <c r="U73" s="16"/>
      <c r="V73" s="9"/>
      <c r="W73" s="17"/>
    </row>
    <row r="74" spans="1:23" x14ac:dyDescent="0.25">
      <c r="A74" s="9" t="s">
        <v>35</v>
      </c>
      <c r="B74" s="14">
        <v>140</v>
      </c>
      <c r="C74" s="10">
        <v>126</v>
      </c>
      <c r="D74" s="11">
        <v>21</v>
      </c>
      <c r="E74" s="11">
        <v>74</v>
      </c>
      <c r="F74" s="11">
        <v>12.5</v>
      </c>
      <c r="G74" s="18">
        <v>66.400000000000006</v>
      </c>
      <c r="H74" s="15">
        <v>52.1</v>
      </c>
      <c r="I74" s="18">
        <v>2020</v>
      </c>
      <c r="J74" s="11">
        <v>288</v>
      </c>
      <c r="K74" s="11">
        <v>5.52</v>
      </c>
      <c r="L74" s="11">
        <v>175</v>
      </c>
      <c r="M74" s="15">
        <v>350</v>
      </c>
      <c r="N74" s="18">
        <v>703</v>
      </c>
      <c r="O74" s="11">
        <v>112</v>
      </c>
      <c r="P74" s="11">
        <v>3.25</v>
      </c>
      <c r="Q74" s="11">
        <v>85.3</v>
      </c>
      <c r="R74" s="15">
        <v>171</v>
      </c>
      <c r="S74" s="18">
        <v>84.2</v>
      </c>
      <c r="T74" s="11">
        <v>24790</v>
      </c>
      <c r="U74" s="16"/>
      <c r="V74" s="9"/>
      <c r="W74" s="17"/>
    </row>
    <row r="75" spans="1:23" x14ac:dyDescent="0.25">
      <c r="A75" s="9" t="s">
        <v>35</v>
      </c>
      <c r="B75" s="14">
        <v>160</v>
      </c>
      <c r="C75" s="10">
        <v>146</v>
      </c>
      <c r="D75" s="11">
        <v>22</v>
      </c>
      <c r="E75" s="11">
        <v>92</v>
      </c>
      <c r="F75" s="11">
        <v>13</v>
      </c>
      <c r="G75" s="18">
        <v>80.599999999999994</v>
      </c>
      <c r="H75" s="15">
        <v>63.2</v>
      </c>
      <c r="I75" s="18">
        <v>3290</v>
      </c>
      <c r="J75" s="11">
        <v>411</v>
      </c>
      <c r="K75" s="11">
        <v>6.39</v>
      </c>
      <c r="L75" s="11">
        <v>247</v>
      </c>
      <c r="M75" s="15">
        <v>494</v>
      </c>
      <c r="N75" s="18">
        <v>1140</v>
      </c>
      <c r="O75" s="11">
        <v>157</v>
      </c>
      <c r="P75" s="11">
        <v>3.76</v>
      </c>
      <c r="Q75" s="11">
        <v>120</v>
      </c>
      <c r="R75" s="15">
        <v>239</v>
      </c>
      <c r="S75" s="18">
        <v>112</v>
      </c>
      <c r="T75" s="11">
        <v>54330</v>
      </c>
      <c r="U75" s="16"/>
      <c r="V75" s="9"/>
      <c r="W75" s="17"/>
    </row>
    <row r="76" spans="1:23" x14ac:dyDescent="0.25">
      <c r="A76" s="9" t="s">
        <v>35</v>
      </c>
      <c r="B76" s="14">
        <v>180</v>
      </c>
      <c r="C76" s="10">
        <v>166</v>
      </c>
      <c r="D76" s="11">
        <v>23</v>
      </c>
      <c r="E76" s="11">
        <v>104</v>
      </c>
      <c r="F76" s="11">
        <v>14</v>
      </c>
      <c r="G76" s="18">
        <v>97.1</v>
      </c>
      <c r="H76" s="15">
        <v>76.2</v>
      </c>
      <c r="I76" s="18">
        <v>5100</v>
      </c>
      <c r="J76" s="11">
        <v>566</v>
      </c>
      <c r="K76" s="11">
        <v>7.25</v>
      </c>
      <c r="L76" s="11">
        <v>337</v>
      </c>
      <c r="M76" s="15">
        <v>674</v>
      </c>
      <c r="N76" s="18">
        <v>1760</v>
      </c>
      <c r="O76" s="11">
        <v>212</v>
      </c>
      <c r="P76" s="11">
        <v>4.26</v>
      </c>
      <c r="Q76" s="11">
        <v>162</v>
      </c>
      <c r="R76" s="15">
        <v>323</v>
      </c>
      <c r="S76" s="18">
        <v>147</v>
      </c>
      <c r="T76" s="11">
        <v>108100</v>
      </c>
      <c r="U76" s="16"/>
      <c r="V76" s="9"/>
      <c r="W76" s="17"/>
    </row>
    <row r="77" spans="1:23" x14ac:dyDescent="0.25">
      <c r="A77" s="9" t="s">
        <v>35</v>
      </c>
      <c r="B77" s="14">
        <v>200</v>
      </c>
      <c r="C77" s="10">
        <v>186</v>
      </c>
      <c r="D77" s="11">
        <v>24</v>
      </c>
      <c r="E77" s="11">
        <v>122</v>
      </c>
      <c r="F77" s="11">
        <v>14.5</v>
      </c>
      <c r="G77" s="18">
        <v>113</v>
      </c>
      <c r="H77" s="15">
        <v>88.9</v>
      </c>
      <c r="I77" s="18">
        <v>7480</v>
      </c>
      <c r="J77" s="11">
        <v>748</v>
      </c>
      <c r="K77" s="11">
        <v>8.14</v>
      </c>
      <c r="L77" s="11">
        <v>442</v>
      </c>
      <c r="M77" s="15">
        <v>884</v>
      </c>
      <c r="N77" s="18">
        <v>2580</v>
      </c>
      <c r="O77" s="11">
        <v>277</v>
      </c>
      <c r="P77" s="11">
        <v>4.78</v>
      </c>
      <c r="Q77" s="11">
        <v>212</v>
      </c>
      <c r="R77" s="15">
        <v>423</v>
      </c>
      <c r="S77" s="18">
        <v>187</v>
      </c>
      <c r="T77" s="11">
        <v>199300</v>
      </c>
      <c r="U77" s="16"/>
      <c r="V77" s="9"/>
      <c r="W77" s="17"/>
    </row>
    <row r="78" spans="1:23" x14ac:dyDescent="0.25">
      <c r="A78" s="9" t="s">
        <v>35</v>
      </c>
      <c r="B78" s="14">
        <v>220</v>
      </c>
      <c r="C78" s="10">
        <v>206</v>
      </c>
      <c r="D78" s="11">
        <v>25</v>
      </c>
      <c r="E78" s="11">
        <v>134</v>
      </c>
      <c r="F78" s="11">
        <v>15</v>
      </c>
      <c r="G78" s="18">
        <v>131</v>
      </c>
      <c r="H78" s="15">
        <v>103</v>
      </c>
      <c r="I78" s="18">
        <v>10640</v>
      </c>
      <c r="J78" s="11">
        <v>967</v>
      </c>
      <c r="K78" s="11">
        <v>9.01</v>
      </c>
      <c r="L78" s="11">
        <v>568</v>
      </c>
      <c r="M78" s="15">
        <v>1136</v>
      </c>
      <c r="N78" s="18">
        <v>3650</v>
      </c>
      <c r="O78" s="11">
        <v>354</v>
      </c>
      <c r="P78" s="11">
        <v>5.28</v>
      </c>
      <c r="Q78" s="11">
        <v>270</v>
      </c>
      <c r="R78" s="15">
        <v>540</v>
      </c>
      <c r="S78" s="18">
        <v>234</v>
      </c>
      <c r="T78" s="11">
        <v>346300</v>
      </c>
      <c r="U78" s="16"/>
      <c r="V78" s="9"/>
      <c r="W78" s="17"/>
    </row>
    <row r="79" spans="1:23" x14ac:dyDescent="0.25">
      <c r="A79" s="9" t="s">
        <v>35</v>
      </c>
      <c r="B79" s="14">
        <v>240</v>
      </c>
      <c r="C79" s="10">
        <v>226</v>
      </c>
      <c r="D79" s="11">
        <v>26</v>
      </c>
      <c r="E79" s="11">
        <v>152</v>
      </c>
      <c r="F79" s="11">
        <v>15.5</v>
      </c>
      <c r="G79" s="18">
        <v>149</v>
      </c>
      <c r="H79" s="15">
        <v>117</v>
      </c>
      <c r="I79" s="18">
        <v>14600</v>
      </c>
      <c r="J79" s="11">
        <v>1220</v>
      </c>
      <c r="K79" s="11">
        <v>9.9</v>
      </c>
      <c r="L79" s="11">
        <v>710</v>
      </c>
      <c r="M79" s="15">
        <v>1420</v>
      </c>
      <c r="N79" s="18">
        <v>5010</v>
      </c>
      <c r="O79" s="11">
        <v>444</v>
      </c>
      <c r="P79" s="11">
        <v>5.8</v>
      </c>
      <c r="Q79" s="11">
        <v>338</v>
      </c>
      <c r="R79" s="15">
        <v>675</v>
      </c>
      <c r="S79" s="18">
        <v>288</v>
      </c>
      <c r="T79" s="11">
        <v>572700</v>
      </c>
      <c r="U79" s="16"/>
      <c r="V79" s="9"/>
      <c r="W79" s="17"/>
    </row>
    <row r="80" spans="1:23" x14ac:dyDescent="0.25">
      <c r="A80" s="9" t="s">
        <v>35</v>
      </c>
      <c r="B80" s="14">
        <v>270</v>
      </c>
      <c r="C80" s="10">
        <v>248</v>
      </c>
      <c r="D80" s="11">
        <v>32</v>
      </c>
      <c r="E80" s="11">
        <v>164</v>
      </c>
      <c r="F80" s="11">
        <v>18</v>
      </c>
      <c r="G80" s="18">
        <v>200</v>
      </c>
      <c r="H80" s="15">
        <v>157</v>
      </c>
      <c r="I80" s="18">
        <v>24290</v>
      </c>
      <c r="J80" s="11">
        <v>1800</v>
      </c>
      <c r="K80" s="11">
        <v>11</v>
      </c>
      <c r="L80" s="11">
        <v>1060</v>
      </c>
      <c r="M80" s="15">
        <v>2120</v>
      </c>
      <c r="N80" s="18">
        <v>8150</v>
      </c>
      <c r="O80" s="11">
        <v>657</v>
      </c>
      <c r="P80" s="11">
        <v>6.38</v>
      </c>
      <c r="Q80" s="11">
        <v>500</v>
      </c>
      <c r="R80" s="15">
        <v>1001</v>
      </c>
      <c r="S80" s="18">
        <v>582</v>
      </c>
      <c r="T80" s="11">
        <v>1152000</v>
      </c>
      <c r="U80" s="16"/>
      <c r="V80" s="9"/>
      <c r="W80" s="17"/>
    </row>
    <row r="81" spans="1:23" x14ac:dyDescent="0.25">
      <c r="A81" s="9" t="s">
        <v>35</v>
      </c>
      <c r="B81" s="14">
        <v>290</v>
      </c>
      <c r="C81" s="10">
        <v>268</v>
      </c>
      <c r="D81" s="11">
        <v>32.5</v>
      </c>
      <c r="E81" s="11">
        <v>177</v>
      </c>
      <c r="F81" s="11">
        <v>18</v>
      </c>
      <c r="G81" s="18">
        <v>220</v>
      </c>
      <c r="H81" s="15">
        <v>172</v>
      </c>
      <c r="I81" s="18">
        <v>31310</v>
      </c>
      <c r="J81" s="11">
        <v>2160</v>
      </c>
      <c r="K81" s="11">
        <v>11.9</v>
      </c>
      <c r="L81" s="11">
        <v>1260</v>
      </c>
      <c r="M81" s="15">
        <v>2520</v>
      </c>
      <c r="N81" s="18">
        <v>10450</v>
      </c>
      <c r="O81" s="11">
        <v>780</v>
      </c>
      <c r="P81" s="11">
        <v>6.89</v>
      </c>
      <c r="Q81" s="11">
        <v>593</v>
      </c>
      <c r="R81" s="15">
        <v>1185</v>
      </c>
      <c r="S81" s="18">
        <v>657</v>
      </c>
      <c r="T81" s="11">
        <v>1728000</v>
      </c>
      <c r="U81" s="16"/>
      <c r="V81" s="9"/>
      <c r="W81" s="17"/>
    </row>
    <row r="82" spans="1:23" x14ac:dyDescent="0.25">
      <c r="A82" s="9" t="s">
        <v>35</v>
      </c>
      <c r="B82" s="14">
        <v>310</v>
      </c>
      <c r="C82" s="10">
        <v>288</v>
      </c>
      <c r="D82" s="11">
        <v>33</v>
      </c>
      <c r="E82" s="11">
        <v>196</v>
      </c>
      <c r="F82" s="11">
        <v>18.5</v>
      </c>
      <c r="G82" s="18">
        <v>240</v>
      </c>
      <c r="H82" s="15">
        <v>189</v>
      </c>
      <c r="I82" s="18">
        <v>39550</v>
      </c>
      <c r="J82" s="11">
        <v>2550</v>
      </c>
      <c r="K82" s="11">
        <v>12.8</v>
      </c>
      <c r="L82" s="11">
        <v>1480</v>
      </c>
      <c r="M82" s="15">
        <v>2960</v>
      </c>
      <c r="N82" s="18">
        <v>13160</v>
      </c>
      <c r="O82" s="11">
        <v>914</v>
      </c>
      <c r="P82" s="11">
        <v>7.4</v>
      </c>
      <c r="Q82" s="11">
        <v>695</v>
      </c>
      <c r="R82" s="15">
        <v>1389</v>
      </c>
      <c r="S82" s="18">
        <v>741</v>
      </c>
      <c r="T82" s="11">
        <v>2520000</v>
      </c>
      <c r="U82" s="16"/>
      <c r="V82" s="9"/>
      <c r="W82" s="17"/>
    </row>
    <row r="83" spans="1:23" x14ac:dyDescent="0.25">
      <c r="A83" s="9" t="s">
        <v>35</v>
      </c>
      <c r="B83" s="14">
        <v>340</v>
      </c>
      <c r="C83" s="10">
        <v>310</v>
      </c>
      <c r="D83" s="11">
        <v>39</v>
      </c>
      <c r="E83" s="11">
        <v>208</v>
      </c>
      <c r="F83" s="11">
        <v>21</v>
      </c>
      <c r="G83" s="18">
        <v>303</v>
      </c>
      <c r="H83" s="15">
        <v>238</v>
      </c>
      <c r="I83" s="18">
        <v>59200</v>
      </c>
      <c r="J83" s="11">
        <v>3480</v>
      </c>
      <c r="K83" s="11">
        <v>14</v>
      </c>
      <c r="L83" s="11">
        <v>2040</v>
      </c>
      <c r="M83" s="15">
        <v>4080</v>
      </c>
      <c r="N83" s="18">
        <v>19400</v>
      </c>
      <c r="O83" s="11">
        <v>1250</v>
      </c>
      <c r="P83" s="11">
        <v>8</v>
      </c>
      <c r="Q83" s="11">
        <v>951</v>
      </c>
      <c r="R83" s="15">
        <v>1903</v>
      </c>
      <c r="S83" s="18">
        <v>1307</v>
      </c>
      <c r="T83" s="11">
        <v>4386000</v>
      </c>
      <c r="U83" s="16"/>
      <c r="V83" s="9"/>
      <c r="W83" s="17"/>
    </row>
    <row r="84" spans="1:23" x14ac:dyDescent="0.25">
      <c r="A84" s="9" t="s">
        <v>35</v>
      </c>
      <c r="B84" s="14">
        <v>320</v>
      </c>
      <c r="C84" s="10">
        <v>305</v>
      </c>
      <c r="D84" s="11">
        <v>29</v>
      </c>
      <c r="E84" s="11">
        <v>208</v>
      </c>
      <c r="F84" s="11">
        <v>16</v>
      </c>
      <c r="G84" s="18">
        <v>225</v>
      </c>
      <c r="H84" s="15">
        <v>177</v>
      </c>
      <c r="I84" s="18">
        <v>40950</v>
      </c>
      <c r="J84" s="11">
        <v>2550</v>
      </c>
      <c r="K84" s="11">
        <v>13.5</v>
      </c>
      <c r="L84" s="11">
        <v>1460</v>
      </c>
      <c r="M84" s="15">
        <v>2920</v>
      </c>
      <c r="N84" s="18">
        <v>13740</v>
      </c>
      <c r="O84" s="11">
        <v>901</v>
      </c>
      <c r="P84" s="11">
        <v>7.81</v>
      </c>
      <c r="Q84" s="11">
        <v>683</v>
      </c>
      <c r="R84" s="15">
        <v>1366</v>
      </c>
      <c r="S84" s="18">
        <v>532</v>
      </c>
      <c r="T84" s="11">
        <v>2903000</v>
      </c>
      <c r="U84" s="16"/>
      <c r="V84" s="9"/>
      <c r="W84" s="17"/>
    </row>
    <row r="85" spans="1:23" x14ac:dyDescent="0.25">
      <c r="A85" s="9" t="s">
        <v>35</v>
      </c>
      <c r="B85" s="14">
        <v>359</v>
      </c>
      <c r="C85" s="10">
        <v>309</v>
      </c>
      <c r="D85" s="11">
        <v>40</v>
      </c>
      <c r="E85" s="11">
        <v>225</v>
      </c>
      <c r="F85" s="11">
        <v>21</v>
      </c>
      <c r="G85" s="18">
        <v>312</v>
      </c>
      <c r="H85" s="15">
        <v>245</v>
      </c>
      <c r="I85" s="18">
        <v>68130</v>
      </c>
      <c r="J85" s="11">
        <v>3480</v>
      </c>
      <c r="K85" s="11">
        <v>14.8</v>
      </c>
      <c r="L85" s="11">
        <v>2220</v>
      </c>
      <c r="M85" s="15">
        <v>4440</v>
      </c>
      <c r="N85" s="18">
        <v>19710</v>
      </c>
      <c r="O85" s="11">
        <v>1280</v>
      </c>
      <c r="P85" s="11">
        <v>7.95</v>
      </c>
      <c r="Q85" s="11">
        <v>970</v>
      </c>
      <c r="R85" s="15">
        <v>1940</v>
      </c>
      <c r="S85" s="18">
        <v>1405</v>
      </c>
      <c r="T85" s="11">
        <v>5004000</v>
      </c>
      <c r="U85" s="16"/>
      <c r="V85" s="9"/>
      <c r="W85" s="17"/>
    </row>
    <row r="86" spans="1:23" x14ac:dyDescent="0.25">
      <c r="A86" s="9" t="s">
        <v>35</v>
      </c>
      <c r="B86" s="14">
        <v>377</v>
      </c>
      <c r="C86" s="10">
        <v>309</v>
      </c>
      <c r="D86" s="11">
        <v>40</v>
      </c>
      <c r="E86" s="11">
        <v>243</v>
      </c>
      <c r="F86" s="11">
        <v>21</v>
      </c>
      <c r="G86" s="18">
        <v>316</v>
      </c>
      <c r="H86" s="15">
        <v>248</v>
      </c>
      <c r="I86" s="18">
        <v>76370</v>
      </c>
      <c r="J86" s="11">
        <v>4050</v>
      </c>
      <c r="K86" s="11">
        <v>15.5</v>
      </c>
      <c r="L86" s="11">
        <v>2360</v>
      </c>
      <c r="M86" s="15">
        <v>4720</v>
      </c>
      <c r="N86" s="18">
        <v>19710</v>
      </c>
      <c r="O86" s="11">
        <v>1280</v>
      </c>
      <c r="P86" s="11">
        <v>7.9</v>
      </c>
      <c r="Q86" s="11">
        <v>971</v>
      </c>
      <c r="R86" s="15">
        <v>1942</v>
      </c>
      <c r="S86" s="18">
        <v>1410</v>
      </c>
      <c r="T86" s="11">
        <v>5585000</v>
      </c>
      <c r="U86" s="16"/>
      <c r="V86" s="9"/>
      <c r="W86" s="17"/>
    </row>
    <row r="87" spans="1:23" x14ac:dyDescent="0.25">
      <c r="A87" s="9" t="s">
        <v>35</v>
      </c>
      <c r="B87" s="14">
        <v>395</v>
      </c>
      <c r="C87" s="10">
        <v>308</v>
      </c>
      <c r="D87" s="11">
        <v>40</v>
      </c>
      <c r="E87" s="11">
        <v>261</v>
      </c>
      <c r="F87" s="11">
        <v>21</v>
      </c>
      <c r="G87" s="18">
        <v>319</v>
      </c>
      <c r="H87" s="15">
        <v>250</v>
      </c>
      <c r="I87" s="18">
        <v>84870</v>
      </c>
      <c r="J87" s="11">
        <v>4300</v>
      </c>
      <c r="K87" s="11">
        <v>16.3</v>
      </c>
      <c r="L87" s="11">
        <v>2490</v>
      </c>
      <c r="M87" s="15">
        <v>4980</v>
      </c>
      <c r="N87" s="18">
        <v>19520</v>
      </c>
      <c r="O87" s="11">
        <v>1270</v>
      </c>
      <c r="P87" s="11">
        <v>7.82</v>
      </c>
      <c r="Q87" s="11">
        <v>966</v>
      </c>
      <c r="R87" s="15">
        <v>1932</v>
      </c>
      <c r="S87" s="18">
        <v>1411</v>
      </c>
      <c r="T87" s="11">
        <v>6137000</v>
      </c>
      <c r="U87" s="16"/>
      <c r="V87" s="9"/>
      <c r="W87" s="17"/>
    </row>
    <row r="88" spans="1:23" x14ac:dyDescent="0.25">
      <c r="A88" s="9" t="s">
        <v>35</v>
      </c>
      <c r="B88" s="14">
        <v>432</v>
      </c>
      <c r="C88" s="10">
        <v>307</v>
      </c>
      <c r="D88" s="11">
        <v>40</v>
      </c>
      <c r="E88" s="11">
        <v>298</v>
      </c>
      <c r="F88" s="11">
        <v>21</v>
      </c>
      <c r="G88" s="18">
        <v>326</v>
      </c>
      <c r="H88" s="15">
        <v>256</v>
      </c>
      <c r="I88" s="18">
        <v>104100</v>
      </c>
      <c r="J88" s="11">
        <v>4820</v>
      </c>
      <c r="K88" s="11">
        <v>17.899999999999999</v>
      </c>
      <c r="L88" s="11">
        <v>2790</v>
      </c>
      <c r="M88" s="15">
        <v>5580</v>
      </c>
      <c r="N88" s="18">
        <v>19340</v>
      </c>
      <c r="O88" s="11">
        <v>1260</v>
      </c>
      <c r="P88" s="11">
        <v>7.7</v>
      </c>
      <c r="Q88" s="11">
        <v>962</v>
      </c>
      <c r="R88" s="15">
        <v>1924</v>
      </c>
      <c r="S88" s="18">
        <v>1419</v>
      </c>
      <c r="T88" s="11">
        <v>7410000</v>
      </c>
      <c r="U88" s="16"/>
      <c r="V88" s="9"/>
      <c r="W88" s="17"/>
    </row>
    <row r="89" spans="1:23" x14ac:dyDescent="0.25">
      <c r="A89" s="9" t="s">
        <v>35</v>
      </c>
      <c r="B89" s="14">
        <v>478</v>
      </c>
      <c r="C89" s="10">
        <v>307</v>
      </c>
      <c r="D89" s="11">
        <v>40</v>
      </c>
      <c r="E89" s="11">
        <v>344</v>
      </c>
      <c r="F89" s="11">
        <v>21</v>
      </c>
      <c r="G89" s="18">
        <v>335</v>
      </c>
      <c r="H89" s="15">
        <v>263</v>
      </c>
      <c r="I89" s="18">
        <v>131500</v>
      </c>
      <c r="J89" s="11">
        <v>5500</v>
      </c>
      <c r="K89" s="11">
        <v>19.8</v>
      </c>
      <c r="L89" s="11">
        <v>3170</v>
      </c>
      <c r="M89" s="15">
        <v>6340</v>
      </c>
      <c r="N89" s="18">
        <v>19340</v>
      </c>
      <c r="O89" s="11">
        <v>1260</v>
      </c>
      <c r="P89" s="11">
        <v>7.6</v>
      </c>
      <c r="Q89" s="11">
        <v>964</v>
      </c>
      <c r="R89" s="15">
        <v>1929</v>
      </c>
      <c r="S89" s="18">
        <v>1433</v>
      </c>
      <c r="T89" s="11">
        <v>9252000</v>
      </c>
      <c r="U89" s="16"/>
      <c r="V89" s="9"/>
      <c r="W89" s="17"/>
    </row>
    <row r="90" spans="1:23" x14ac:dyDescent="0.25">
      <c r="A90" s="9" t="s">
        <v>35</v>
      </c>
      <c r="B90" s="14">
        <v>524</v>
      </c>
      <c r="C90" s="10">
        <v>306</v>
      </c>
      <c r="D90" s="11">
        <v>40</v>
      </c>
      <c r="E90" s="11">
        <v>390</v>
      </c>
      <c r="F90" s="11">
        <v>21</v>
      </c>
      <c r="G90" s="18">
        <v>344</v>
      </c>
      <c r="H90" s="15">
        <v>270</v>
      </c>
      <c r="I90" s="18">
        <v>161900</v>
      </c>
      <c r="J90" s="11">
        <v>6180</v>
      </c>
      <c r="K90" s="11">
        <v>21.7</v>
      </c>
      <c r="L90" s="11">
        <v>3550</v>
      </c>
      <c r="M90" s="15">
        <v>7100</v>
      </c>
      <c r="N90" s="18">
        <v>19150</v>
      </c>
      <c r="O90" s="11">
        <v>1250</v>
      </c>
      <c r="P90" s="11">
        <v>7.46</v>
      </c>
      <c r="Q90" s="11">
        <v>961</v>
      </c>
      <c r="R90" s="15">
        <v>1922</v>
      </c>
      <c r="S90" s="18">
        <v>1443</v>
      </c>
      <c r="T90" s="11">
        <v>11487000</v>
      </c>
      <c r="U90" s="16"/>
      <c r="V90" s="9"/>
      <c r="W90" s="17"/>
    </row>
    <row r="91" spans="1:23" x14ac:dyDescent="0.25">
      <c r="A91" s="9" t="s">
        <v>35</v>
      </c>
      <c r="B91" s="14">
        <v>572</v>
      </c>
      <c r="C91" s="10">
        <v>306</v>
      </c>
      <c r="D91" s="11">
        <v>40</v>
      </c>
      <c r="E91" s="11">
        <v>438</v>
      </c>
      <c r="F91" s="11">
        <v>21</v>
      </c>
      <c r="G91" s="18">
        <v>354</v>
      </c>
      <c r="H91" s="15">
        <v>278</v>
      </c>
      <c r="I91" s="18">
        <v>198000</v>
      </c>
      <c r="J91" s="11">
        <v>6920</v>
      </c>
      <c r="K91" s="11">
        <v>23.6</v>
      </c>
      <c r="L91" s="11">
        <v>3970</v>
      </c>
      <c r="M91" s="15">
        <v>7940</v>
      </c>
      <c r="N91" s="18">
        <v>19160</v>
      </c>
      <c r="O91" s="11">
        <v>1250</v>
      </c>
      <c r="P91" s="11">
        <v>7.36</v>
      </c>
      <c r="Q91" s="11">
        <v>963</v>
      </c>
      <c r="R91" s="15">
        <v>1927</v>
      </c>
      <c r="S91" s="18">
        <v>1457</v>
      </c>
      <c r="T91" s="11">
        <v>13516000</v>
      </c>
      <c r="U91" s="16"/>
      <c r="V91" s="9"/>
      <c r="W91" s="17"/>
    </row>
    <row r="92" spans="1:23" x14ac:dyDescent="0.25">
      <c r="A92" s="9" t="s">
        <v>35</v>
      </c>
      <c r="B92" s="14">
        <v>620</v>
      </c>
      <c r="C92" s="10">
        <v>305</v>
      </c>
      <c r="D92" s="11">
        <v>40</v>
      </c>
      <c r="E92" s="11">
        <v>486</v>
      </c>
      <c r="F92" s="11">
        <v>21</v>
      </c>
      <c r="G92" s="18">
        <v>364</v>
      </c>
      <c r="H92" s="15">
        <v>285</v>
      </c>
      <c r="I92" s="18">
        <v>237400</v>
      </c>
      <c r="J92" s="11">
        <v>7660</v>
      </c>
      <c r="K92" s="11">
        <v>25.5</v>
      </c>
      <c r="L92" s="11">
        <v>4390</v>
      </c>
      <c r="M92" s="15">
        <v>8780</v>
      </c>
      <c r="N92" s="18">
        <v>18980</v>
      </c>
      <c r="O92" s="11">
        <v>1240</v>
      </c>
      <c r="P92" s="11">
        <v>7.22</v>
      </c>
      <c r="Q92" s="11">
        <v>960</v>
      </c>
      <c r="R92" s="15">
        <v>1920</v>
      </c>
      <c r="S92" s="18">
        <v>1468</v>
      </c>
      <c r="T92" s="11">
        <v>15908000</v>
      </c>
      <c r="U92" s="16"/>
      <c r="V92" s="9"/>
      <c r="W92" s="17"/>
    </row>
    <row r="93" spans="1:23" x14ac:dyDescent="0.25">
      <c r="A93" s="9" t="s">
        <v>35</v>
      </c>
      <c r="B93" s="14">
        <v>668</v>
      </c>
      <c r="C93" s="10">
        <v>305</v>
      </c>
      <c r="D93" s="11">
        <v>40</v>
      </c>
      <c r="E93" s="11">
        <v>534</v>
      </c>
      <c r="F93" s="11">
        <v>21</v>
      </c>
      <c r="G93" s="18">
        <v>374</v>
      </c>
      <c r="H93" s="15">
        <v>293</v>
      </c>
      <c r="I93" s="18">
        <v>281700</v>
      </c>
      <c r="J93" s="11">
        <v>8430</v>
      </c>
      <c r="K93" s="11">
        <v>27.4</v>
      </c>
      <c r="L93" s="11">
        <v>4830</v>
      </c>
      <c r="M93" s="15">
        <v>9660</v>
      </c>
      <c r="N93" s="18">
        <v>18980</v>
      </c>
      <c r="O93" s="11">
        <v>1240</v>
      </c>
      <c r="P93" s="11">
        <v>7.12</v>
      </c>
      <c r="Q93" s="11">
        <v>963</v>
      </c>
      <c r="R93" s="15">
        <v>1925</v>
      </c>
      <c r="S93" s="18">
        <v>1483</v>
      </c>
      <c r="T93" s="11">
        <v>18650000</v>
      </c>
      <c r="U93" s="16"/>
      <c r="V93" s="9"/>
      <c r="W93" s="17"/>
    </row>
    <row r="94" spans="1:23" x14ac:dyDescent="0.25">
      <c r="A94" s="9" t="s">
        <v>35</v>
      </c>
      <c r="B94" s="14">
        <v>716</v>
      </c>
      <c r="C94" s="10">
        <v>304</v>
      </c>
      <c r="D94" s="11">
        <v>40</v>
      </c>
      <c r="E94" s="11">
        <v>582</v>
      </c>
      <c r="F94" s="11">
        <v>21</v>
      </c>
      <c r="G94" s="18">
        <v>383</v>
      </c>
      <c r="H94" s="15">
        <v>301</v>
      </c>
      <c r="I94" s="18">
        <v>329300</v>
      </c>
      <c r="J94" s="11">
        <v>9200</v>
      </c>
      <c r="K94" s="11">
        <v>29.3</v>
      </c>
      <c r="L94" s="11">
        <v>5270</v>
      </c>
      <c r="M94" s="15">
        <v>10540</v>
      </c>
      <c r="N94" s="18">
        <v>18800</v>
      </c>
      <c r="O94" s="11">
        <v>1240</v>
      </c>
      <c r="P94" s="11">
        <v>7.01</v>
      </c>
      <c r="Q94" s="11">
        <v>959</v>
      </c>
      <c r="R94" s="15">
        <v>1918</v>
      </c>
      <c r="S94" s="18">
        <v>1493</v>
      </c>
      <c r="T94" s="11">
        <v>21398000</v>
      </c>
      <c r="U94" s="16"/>
      <c r="V94" s="9"/>
      <c r="W94" s="17"/>
    </row>
    <row r="95" spans="1:23" x14ac:dyDescent="0.25">
      <c r="A95" s="9" t="s">
        <v>35</v>
      </c>
      <c r="B95" s="14">
        <v>814</v>
      </c>
      <c r="C95" s="10">
        <v>303</v>
      </c>
      <c r="D95" s="11">
        <v>40</v>
      </c>
      <c r="E95" s="11">
        <v>674</v>
      </c>
      <c r="F95" s="11">
        <v>21</v>
      </c>
      <c r="G95" s="18">
        <v>404</v>
      </c>
      <c r="H95" s="15">
        <v>317</v>
      </c>
      <c r="I95" s="18">
        <v>442600</v>
      </c>
      <c r="J95" s="11">
        <v>10870</v>
      </c>
      <c r="K95" s="11">
        <v>33.1</v>
      </c>
      <c r="L95" s="11">
        <v>6240</v>
      </c>
      <c r="M95" s="15">
        <v>12480</v>
      </c>
      <c r="N95" s="18">
        <v>18630</v>
      </c>
      <c r="O95" s="11">
        <v>1230</v>
      </c>
      <c r="P95" s="11">
        <v>6.79</v>
      </c>
      <c r="Q95" s="11">
        <v>959</v>
      </c>
      <c r="R95" s="15">
        <v>1917</v>
      </c>
      <c r="S95" s="18">
        <v>1519</v>
      </c>
      <c r="T95" s="11">
        <v>27750000</v>
      </c>
      <c r="U95" s="16"/>
      <c r="V95" s="9"/>
      <c r="W95" s="17"/>
    </row>
    <row r="96" spans="1:23" x14ac:dyDescent="0.25">
      <c r="A96" s="9" t="s">
        <v>35</v>
      </c>
      <c r="B96" s="16">
        <v>910</v>
      </c>
      <c r="C96" s="9">
        <v>302</v>
      </c>
      <c r="D96" s="9">
        <v>40</v>
      </c>
      <c r="E96" s="9">
        <v>770</v>
      </c>
      <c r="F96" s="9">
        <v>21</v>
      </c>
      <c r="G96" s="16">
        <v>424</v>
      </c>
      <c r="H96" s="17">
        <v>333</v>
      </c>
      <c r="I96" s="16">
        <v>570400</v>
      </c>
      <c r="J96" s="9">
        <v>12540</v>
      </c>
      <c r="K96" s="9">
        <v>36.700000000000003</v>
      </c>
      <c r="L96" s="9">
        <v>7220</v>
      </c>
      <c r="M96" s="17">
        <v>14440</v>
      </c>
      <c r="N96" s="16">
        <v>18450</v>
      </c>
      <c r="O96" s="9">
        <v>1220</v>
      </c>
      <c r="P96" s="9">
        <v>6.6</v>
      </c>
      <c r="Q96" s="9">
        <v>958</v>
      </c>
      <c r="R96" s="17">
        <v>1916</v>
      </c>
      <c r="S96" s="16">
        <v>1545</v>
      </c>
      <c r="T96" s="9">
        <v>34746000</v>
      </c>
      <c r="U96" s="16"/>
      <c r="V96" s="9"/>
      <c r="W96" s="17"/>
    </row>
    <row r="97" spans="1:23" x14ac:dyDescent="0.25">
      <c r="A97" s="9" t="s">
        <v>35</v>
      </c>
      <c r="B97" s="16">
        <v>1008</v>
      </c>
      <c r="C97" s="9">
        <v>302</v>
      </c>
      <c r="D97" s="9">
        <v>40</v>
      </c>
      <c r="E97" s="9">
        <v>868</v>
      </c>
      <c r="F97" s="9">
        <v>21</v>
      </c>
      <c r="G97" s="16">
        <v>444</v>
      </c>
      <c r="H97" s="17">
        <v>349</v>
      </c>
      <c r="I97" s="16">
        <v>722300</v>
      </c>
      <c r="J97" s="9">
        <v>14330</v>
      </c>
      <c r="K97" s="9">
        <v>40.299999999999997</v>
      </c>
      <c r="L97" s="9">
        <v>8280</v>
      </c>
      <c r="M97" s="17">
        <v>16560</v>
      </c>
      <c r="N97" s="16">
        <v>18460</v>
      </c>
      <c r="O97" s="9">
        <v>1220</v>
      </c>
      <c r="P97" s="9">
        <v>6.45</v>
      </c>
      <c r="Q97" s="9">
        <v>963</v>
      </c>
      <c r="R97" s="17">
        <v>1926</v>
      </c>
      <c r="S97" s="16">
        <v>1575</v>
      </c>
      <c r="T97" s="9">
        <v>43015000</v>
      </c>
      <c r="U97" s="16"/>
      <c r="V97" s="9"/>
      <c r="W97" s="17"/>
    </row>
    <row r="98" spans="1:23" x14ac:dyDescent="0.25">
      <c r="A98" s="9" t="s">
        <v>36</v>
      </c>
      <c r="B98" s="14">
        <v>80</v>
      </c>
      <c r="C98" s="10">
        <v>46</v>
      </c>
      <c r="D98" s="11">
        <v>5.2</v>
      </c>
      <c r="E98" s="11">
        <v>59</v>
      </c>
      <c r="F98" s="11">
        <v>3.8</v>
      </c>
      <c r="G98" s="18">
        <v>7.64</v>
      </c>
      <c r="H98" s="15">
        <v>6</v>
      </c>
      <c r="I98" s="18">
        <v>80.099999999999994</v>
      </c>
      <c r="J98" s="11">
        <v>20</v>
      </c>
      <c r="K98" s="11">
        <v>3.24</v>
      </c>
      <c r="L98" s="11">
        <v>11.6</v>
      </c>
      <c r="M98" s="15">
        <v>23</v>
      </c>
      <c r="N98" s="18">
        <v>8.49</v>
      </c>
      <c r="O98" s="11">
        <v>3.69</v>
      </c>
      <c r="P98" s="11">
        <v>1.05</v>
      </c>
      <c r="Q98" s="11">
        <v>2.9</v>
      </c>
      <c r="R98" s="15">
        <v>6</v>
      </c>
      <c r="S98" s="18">
        <v>0.55900000000000005</v>
      </c>
      <c r="T98" s="11">
        <v>118</v>
      </c>
      <c r="U98" s="16"/>
      <c r="V98" s="9"/>
      <c r="W98" s="17"/>
    </row>
    <row r="99" spans="1:23" x14ac:dyDescent="0.25">
      <c r="A99" s="9" t="s">
        <v>36</v>
      </c>
      <c r="B99" s="14">
        <v>100</v>
      </c>
      <c r="C99" s="10">
        <v>55</v>
      </c>
      <c r="D99" s="11">
        <v>5.7</v>
      </c>
      <c r="E99" s="11">
        <v>74</v>
      </c>
      <c r="F99" s="11">
        <v>4.0999999999999996</v>
      </c>
      <c r="G99" s="18">
        <v>10.3</v>
      </c>
      <c r="H99" s="15">
        <v>8.1</v>
      </c>
      <c r="I99" s="18">
        <v>171</v>
      </c>
      <c r="J99" s="11">
        <v>34.200000000000003</v>
      </c>
      <c r="K99" s="11">
        <v>4.07</v>
      </c>
      <c r="L99" s="11">
        <v>19.7</v>
      </c>
      <c r="M99" s="15">
        <v>39</v>
      </c>
      <c r="N99" s="18">
        <v>15.9</v>
      </c>
      <c r="O99" s="11">
        <v>5.78</v>
      </c>
      <c r="P99" s="11">
        <v>1.24</v>
      </c>
      <c r="Q99" s="11">
        <v>4.5</v>
      </c>
      <c r="R99" s="15">
        <v>9</v>
      </c>
      <c r="S99" s="18">
        <v>0.88300000000000001</v>
      </c>
      <c r="T99" s="11">
        <v>351</v>
      </c>
      <c r="U99" s="16"/>
      <c r="V99" s="9"/>
      <c r="W99" s="17"/>
    </row>
    <row r="100" spans="1:23" x14ac:dyDescent="0.25">
      <c r="A100" s="9" t="s">
        <v>36</v>
      </c>
      <c r="B100" s="14">
        <v>120</v>
      </c>
      <c r="C100" s="10">
        <v>64</v>
      </c>
      <c r="D100" s="11">
        <v>6.3</v>
      </c>
      <c r="E100" s="11">
        <v>93</v>
      </c>
      <c r="F100" s="11">
        <v>4.4000000000000004</v>
      </c>
      <c r="G100" s="18">
        <v>13.2</v>
      </c>
      <c r="H100" s="15">
        <v>10.4</v>
      </c>
      <c r="I100" s="18">
        <v>318</v>
      </c>
      <c r="J100" s="11">
        <v>53</v>
      </c>
      <c r="K100" s="11">
        <v>4.91</v>
      </c>
      <c r="L100" s="11">
        <v>30.4</v>
      </c>
      <c r="M100" s="15">
        <v>61</v>
      </c>
      <c r="N100" s="18">
        <v>27.7</v>
      </c>
      <c r="O100" s="11">
        <v>8.66</v>
      </c>
      <c r="P100" s="11">
        <v>1.45</v>
      </c>
      <c r="Q100" s="11">
        <v>6.7</v>
      </c>
      <c r="R100" s="15">
        <v>13</v>
      </c>
      <c r="S100" s="18">
        <v>1.37</v>
      </c>
      <c r="T100" s="11">
        <v>890</v>
      </c>
      <c r="U100" s="16"/>
      <c r="V100" s="9"/>
      <c r="W100" s="17"/>
    </row>
    <row r="101" spans="1:23" x14ac:dyDescent="0.25">
      <c r="A101" s="9" t="s">
        <v>36</v>
      </c>
      <c r="B101" s="14">
        <v>140</v>
      </c>
      <c r="C101" s="10">
        <v>73</v>
      </c>
      <c r="D101" s="11">
        <v>6.9</v>
      </c>
      <c r="E101" s="11">
        <v>112</v>
      </c>
      <c r="F101" s="11">
        <v>4.7</v>
      </c>
      <c r="G101" s="18">
        <v>16.399999999999999</v>
      </c>
      <c r="H101" s="15">
        <v>12.9</v>
      </c>
      <c r="I101" s="18">
        <v>541</v>
      </c>
      <c r="J101" s="11">
        <v>77.3</v>
      </c>
      <c r="K101" s="11">
        <v>5.74</v>
      </c>
      <c r="L101" s="11">
        <v>44.2</v>
      </c>
      <c r="M101" s="15">
        <v>88</v>
      </c>
      <c r="N101" s="18">
        <v>44.9</v>
      </c>
      <c r="O101" s="11">
        <v>12.3</v>
      </c>
      <c r="P101" s="11">
        <v>1.65</v>
      </c>
      <c r="Q101" s="11">
        <v>10</v>
      </c>
      <c r="R101" s="15">
        <v>19</v>
      </c>
      <c r="S101" s="18">
        <v>2.04</v>
      </c>
      <c r="T101" s="11">
        <v>1980</v>
      </c>
      <c r="U101" s="16"/>
      <c r="V101" s="9"/>
      <c r="W101" s="17"/>
    </row>
    <row r="102" spans="1:23" x14ac:dyDescent="0.25">
      <c r="A102" s="9" t="s">
        <v>36</v>
      </c>
      <c r="B102" s="14">
        <v>160</v>
      </c>
      <c r="C102" s="10">
        <v>82</v>
      </c>
      <c r="D102" s="11">
        <v>7.4</v>
      </c>
      <c r="E102" s="11">
        <v>127</v>
      </c>
      <c r="F102" s="11">
        <v>5</v>
      </c>
      <c r="G102" s="18">
        <v>20.100000000000001</v>
      </c>
      <c r="H102" s="15">
        <v>15.8</v>
      </c>
      <c r="I102" s="18">
        <v>869</v>
      </c>
      <c r="J102" s="11">
        <v>109</v>
      </c>
      <c r="K102" s="11">
        <v>6.58</v>
      </c>
      <c r="L102" s="11">
        <v>61.9</v>
      </c>
      <c r="M102" s="15">
        <v>124</v>
      </c>
      <c r="N102" s="18">
        <v>68.3</v>
      </c>
      <c r="O102" s="11">
        <v>16.7</v>
      </c>
      <c r="P102" s="11">
        <v>1.84</v>
      </c>
      <c r="Q102" s="11">
        <v>13</v>
      </c>
      <c r="R102" s="15">
        <v>26</v>
      </c>
      <c r="S102" s="18">
        <v>2.82</v>
      </c>
      <c r="T102" s="11">
        <v>3959</v>
      </c>
      <c r="U102" s="16"/>
      <c r="V102" s="9"/>
      <c r="W102" s="17"/>
    </row>
    <row r="103" spans="1:23" x14ac:dyDescent="0.25">
      <c r="A103" s="9" t="s">
        <v>36</v>
      </c>
      <c r="B103" s="14">
        <v>180</v>
      </c>
      <c r="C103" s="10">
        <v>91</v>
      </c>
      <c r="D103" s="11">
        <v>8</v>
      </c>
      <c r="E103" s="11">
        <v>146</v>
      </c>
      <c r="F103" s="11">
        <v>5.3</v>
      </c>
      <c r="G103" s="18">
        <v>23.9</v>
      </c>
      <c r="H103" s="15">
        <v>18.8</v>
      </c>
      <c r="I103" s="18">
        <v>1320</v>
      </c>
      <c r="J103" s="11">
        <v>147</v>
      </c>
      <c r="K103" s="11">
        <v>7.43</v>
      </c>
      <c r="L103" s="11">
        <v>83.2</v>
      </c>
      <c r="M103" s="15">
        <v>166</v>
      </c>
      <c r="N103" s="18">
        <v>101</v>
      </c>
      <c r="O103" s="11">
        <v>22.2</v>
      </c>
      <c r="P103" s="11">
        <v>2.06</v>
      </c>
      <c r="Q103" s="11">
        <v>17</v>
      </c>
      <c r="R103" s="15">
        <v>34</v>
      </c>
      <c r="S103" s="18">
        <v>3.92</v>
      </c>
      <c r="T103" s="11">
        <v>7431</v>
      </c>
      <c r="U103" s="16"/>
      <c r="V103" s="9"/>
      <c r="W103" s="17"/>
    </row>
    <row r="104" spans="1:23" x14ac:dyDescent="0.25">
      <c r="A104" s="9" t="s">
        <v>36</v>
      </c>
      <c r="B104" s="14">
        <v>200</v>
      </c>
      <c r="C104" s="10">
        <v>100</v>
      </c>
      <c r="D104" s="11">
        <v>8.5</v>
      </c>
      <c r="E104" s="11">
        <v>159</v>
      </c>
      <c r="F104" s="11">
        <v>5.6</v>
      </c>
      <c r="G104" s="18">
        <v>28.5</v>
      </c>
      <c r="H104" s="15">
        <v>22.4</v>
      </c>
      <c r="I104" s="18">
        <v>1940</v>
      </c>
      <c r="J104" s="11">
        <v>194</v>
      </c>
      <c r="K104" s="11">
        <v>8.25</v>
      </c>
      <c r="L104" s="11">
        <v>110</v>
      </c>
      <c r="M104" s="15">
        <v>220</v>
      </c>
      <c r="N104" s="18">
        <v>142</v>
      </c>
      <c r="O104" s="11">
        <v>28.4</v>
      </c>
      <c r="P104" s="11">
        <v>2.23</v>
      </c>
      <c r="Q104" s="11">
        <v>22</v>
      </c>
      <c r="R104" s="15">
        <v>44</v>
      </c>
      <c r="S104" s="18">
        <v>5.17</v>
      </c>
      <c r="T104" s="11">
        <v>12990</v>
      </c>
      <c r="U104" s="16"/>
      <c r="V104" s="9"/>
      <c r="W104" s="17"/>
    </row>
    <row r="105" spans="1:23" x14ac:dyDescent="0.25">
      <c r="A105" s="9" t="s">
        <v>36</v>
      </c>
      <c r="B105" s="14">
        <v>220</v>
      </c>
      <c r="C105" s="10">
        <v>110</v>
      </c>
      <c r="D105" s="11">
        <v>9.1999999999999993</v>
      </c>
      <c r="E105" s="11">
        <v>177</v>
      </c>
      <c r="F105" s="11">
        <v>5.9</v>
      </c>
      <c r="G105" s="18">
        <v>33.4</v>
      </c>
      <c r="H105" s="15">
        <v>26.2</v>
      </c>
      <c r="I105" s="18">
        <v>2770</v>
      </c>
      <c r="J105" s="11">
        <v>252</v>
      </c>
      <c r="K105" s="11">
        <v>9.11</v>
      </c>
      <c r="L105" s="11">
        <v>143</v>
      </c>
      <c r="M105" s="15">
        <v>286</v>
      </c>
      <c r="N105" s="18">
        <v>205</v>
      </c>
      <c r="O105" s="11">
        <v>37.299999999999997</v>
      </c>
      <c r="P105" s="11">
        <v>2.48</v>
      </c>
      <c r="Q105" s="11">
        <v>29</v>
      </c>
      <c r="R105" s="15">
        <v>57</v>
      </c>
      <c r="S105" s="18">
        <v>7.09</v>
      </c>
      <c r="T105" s="11">
        <v>22670</v>
      </c>
      <c r="U105" s="16"/>
      <c r="V105" s="9"/>
      <c r="W105" s="17"/>
    </row>
    <row r="106" spans="1:23" x14ac:dyDescent="0.25">
      <c r="A106" s="9" t="s">
        <v>36</v>
      </c>
      <c r="B106" s="14">
        <v>240</v>
      </c>
      <c r="C106" s="10">
        <v>120</v>
      </c>
      <c r="D106" s="11">
        <v>9.8000000000000007</v>
      </c>
      <c r="E106" s="11">
        <v>190</v>
      </c>
      <c r="F106" s="11">
        <v>6.2</v>
      </c>
      <c r="G106" s="18">
        <v>39.1</v>
      </c>
      <c r="H106" s="15">
        <v>30.7</v>
      </c>
      <c r="I106" s="18">
        <v>3890</v>
      </c>
      <c r="J106" s="11">
        <v>324</v>
      </c>
      <c r="K106" s="11">
        <v>9.9700000000000006</v>
      </c>
      <c r="L106" s="11">
        <v>183</v>
      </c>
      <c r="M106" s="15">
        <v>366</v>
      </c>
      <c r="N106" s="18">
        <v>284</v>
      </c>
      <c r="O106" s="11">
        <v>47.3</v>
      </c>
      <c r="P106" s="11">
        <v>2.7</v>
      </c>
      <c r="Q106" s="11">
        <v>36</v>
      </c>
      <c r="R106" s="15">
        <v>73</v>
      </c>
      <c r="S106" s="18">
        <v>9.2799999999999994</v>
      </c>
      <c r="T106" s="11">
        <v>37390</v>
      </c>
      <c r="U106" s="16"/>
      <c r="V106" s="9"/>
      <c r="W106" s="17"/>
    </row>
    <row r="107" spans="1:23" x14ac:dyDescent="0.25">
      <c r="A107" s="9" t="s">
        <v>36</v>
      </c>
      <c r="B107" s="14">
        <v>270</v>
      </c>
      <c r="C107" s="10">
        <v>135</v>
      </c>
      <c r="D107" s="11">
        <v>10.199999999999999</v>
      </c>
      <c r="E107" s="11">
        <v>219</v>
      </c>
      <c r="F107" s="11">
        <v>6.6</v>
      </c>
      <c r="G107" s="18">
        <v>45.9</v>
      </c>
      <c r="H107" s="15">
        <v>36.1</v>
      </c>
      <c r="I107" s="18">
        <v>5790</v>
      </c>
      <c r="J107" s="11">
        <v>429</v>
      </c>
      <c r="K107" s="11">
        <v>11.2</v>
      </c>
      <c r="L107" s="11">
        <v>242</v>
      </c>
      <c r="M107" s="15">
        <v>484</v>
      </c>
      <c r="N107" s="18">
        <v>420</v>
      </c>
      <c r="O107" s="11">
        <v>62.2</v>
      </c>
      <c r="P107" s="11">
        <v>3.02</v>
      </c>
      <c r="Q107" s="11">
        <v>48</v>
      </c>
      <c r="R107" s="15">
        <v>96</v>
      </c>
      <c r="S107" s="18">
        <v>11.9</v>
      </c>
      <c r="T107" s="11">
        <v>70580</v>
      </c>
      <c r="U107" s="16"/>
      <c r="V107" s="9"/>
      <c r="W107" s="17"/>
    </row>
    <row r="108" spans="1:23" x14ac:dyDescent="0.25">
      <c r="A108" s="9" t="s">
        <v>36</v>
      </c>
      <c r="B108" s="14">
        <v>300</v>
      </c>
      <c r="C108" s="10">
        <v>150</v>
      </c>
      <c r="D108" s="11">
        <v>10.7</v>
      </c>
      <c r="E108" s="11">
        <v>248</v>
      </c>
      <c r="F108" s="11">
        <v>7.1</v>
      </c>
      <c r="G108" s="18">
        <v>53.8</v>
      </c>
      <c r="H108" s="15">
        <v>42.2</v>
      </c>
      <c r="I108" s="18">
        <v>8360</v>
      </c>
      <c r="J108" s="11">
        <v>557</v>
      </c>
      <c r="K108" s="11">
        <v>12.5</v>
      </c>
      <c r="L108" s="11">
        <v>314</v>
      </c>
      <c r="M108" s="15">
        <v>628</v>
      </c>
      <c r="N108" s="18">
        <v>604</v>
      </c>
      <c r="O108" s="11">
        <v>80.5</v>
      </c>
      <c r="P108" s="11">
        <v>3.35</v>
      </c>
      <c r="Q108" s="11">
        <v>62</v>
      </c>
      <c r="R108" s="15">
        <v>124</v>
      </c>
      <c r="S108" s="18">
        <v>15.6</v>
      </c>
      <c r="T108" s="11">
        <v>125900</v>
      </c>
      <c r="U108" s="16"/>
      <c r="V108" s="9"/>
      <c r="W108" s="17"/>
    </row>
    <row r="109" spans="1:23" x14ac:dyDescent="0.25">
      <c r="A109" s="9" t="s">
        <v>36</v>
      </c>
      <c r="B109" s="14">
        <v>330</v>
      </c>
      <c r="C109" s="10">
        <v>160</v>
      </c>
      <c r="D109" s="11">
        <v>11.5</v>
      </c>
      <c r="E109" s="11">
        <v>271</v>
      </c>
      <c r="F109" s="11">
        <v>7.5</v>
      </c>
      <c r="G109" s="18">
        <v>62.6</v>
      </c>
      <c r="H109" s="15">
        <v>49.1</v>
      </c>
      <c r="I109" s="18">
        <v>11770</v>
      </c>
      <c r="J109" s="11">
        <v>713</v>
      </c>
      <c r="K109" s="11">
        <v>13.7</v>
      </c>
      <c r="L109" s="11">
        <v>402</v>
      </c>
      <c r="M109" s="15">
        <v>804</v>
      </c>
      <c r="N109" s="18">
        <v>788</v>
      </c>
      <c r="O109" s="11">
        <v>98.5</v>
      </c>
      <c r="P109" s="11">
        <v>3.55</v>
      </c>
      <c r="Q109" s="11">
        <v>76</v>
      </c>
      <c r="R109" s="15">
        <v>152</v>
      </c>
      <c r="S109" s="18">
        <v>20.5</v>
      </c>
      <c r="T109" s="11">
        <v>199100</v>
      </c>
      <c r="U109" s="16"/>
      <c r="V109" s="9"/>
      <c r="W109" s="17"/>
    </row>
    <row r="110" spans="1:23" x14ac:dyDescent="0.25">
      <c r="A110" s="9" t="s">
        <v>36</v>
      </c>
      <c r="B110" s="14">
        <v>360</v>
      </c>
      <c r="C110" s="10">
        <v>170</v>
      </c>
      <c r="D110" s="11">
        <v>12.7</v>
      </c>
      <c r="E110" s="11">
        <v>298</v>
      </c>
      <c r="F110" s="11">
        <v>8</v>
      </c>
      <c r="G110" s="18">
        <v>72.7</v>
      </c>
      <c r="H110" s="15">
        <v>57.1</v>
      </c>
      <c r="I110" s="18">
        <v>16270</v>
      </c>
      <c r="J110" s="11">
        <v>904</v>
      </c>
      <c r="K110" s="11">
        <v>15</v>
      </c>
      <c r="L110" s="11">
        <v>510</v>
      </c>
      <c r="M110" s="15">
        <v>1020</v>
      </c>
      <c r="N110" s="18">
        <v>1040</v>
      </c>
      <c r="O110" s="11">
        <v>123</v>
      </c>
      <c r="P110" s="11">
        <v>3.78</v>
      </c>
      <c r="Q110" s="11">
        <v>94</v>
      </c>
      <c r="R110" s="15">
        <v>189</v>
      </c>
      <c r="S110" s="18">
        <v>28.9</v>
      </c>
      <c r="T110" s="11">
        <v>313600</v>
      </c>
      <c r="U110" s="16"/>
      <c r="V110" s="9"/>
      <c r="W110" s="17"/>
    </row>
    <row r="111" spans="1:23" x14ac:dyDescent="0.25">
      <c r="A111" s="9" t="s">
        <v>36</v>
      </c>
      <c r="B111" s="14">
        <v>400</v>
      </c>
      <c r="C111" s="10">
        <v>180</v>
      </c>
      <c r="D111" s="11">
        <v>13.5</v>
      </c>
      <c r="E111" s="11">
        <v>331</v>
      </c>
      <c r="F111" s="11">
        <v>8.6</v>
      </c>
      <c r="G111" s="18">
        <v>84.5</v>
      </c>
      <c r="H111" s="15">
        <v>66.3</v>
      </c>
      <c r="I111" s="18">
        <v>23130</v>
      </c>
      <c r="J111" s="11">
        <v>1160</v>
      </c>
      <c r="K111" s="11">
        <v>16.5</v>
      </c>
      <c r="L111" s="11">
        <v>654</v>
      </c>
      <c r="M111" s="15">
        <v>1308</v>
      </c>
      <c r="N111" s="18">
        <v>1320</v>
      </c>
      <c r="O111" s="11">
        <v>146</v>
      </c>
      <c r="P111" s="11">
        <v>3.95</v>
      </c>
      <c r="Q111" s="11">
        <v>113</v>
      </c>
      <c r="R111" s="15">
        <v>226</v>
      </c>
      <c r="S111" s="18">
        <v>37.4</v>
      </c>
      <c r="T111" s="11">
        <v>490000</v>
      </c>
      <c r="U111" s="16"/>
      <c r="V111" s="9"/>
      <c r="W111" s="17"/>
    </row>
    <row r="112" spans="1:23" x14ac:dyDescent="0.25">
      <c r="A112" s="9" t="s">
        <v>36</v>
      </c>
      <c r="B112" s="14">
        <v>450</v>
      </c>
      <c r="C112" s="10">
        <v>190</v>
      </c>
      <c r="D112" s="11">
        <v>14.6</v>
      </c>
      <c r="E112" s="11">
        <v>378</v>
      </c>
      <c r="F112" s="11">
        <v>9.4</v>
      </c>
      <c r="G112" s="18">
        <v>98.8</v>
      </c>
      <c r="H112" s="15">
        <v>77.599999999999994</v>
      </c>
      <c r="I112" s="18">
        <v>33740</v>
      </c>
      <c r="J112" s="11">
        <v>1500</v>
      </c>
      <c r="K112" s="11">
        <v>18.5</v>
      </c>
      <c r="L112" s="11">
        <v>851</v>
      </c>
      <c r="M112" s="15">
        <v>1702</v>
      </c>
      <c r="N112" s="18">
        <v>1680</v>
      </c>
      <c r="O112" s="11">
        <v>176</v>
      </c>
      <c r="P112" s="11">
        <v>4.12</v>
      </c>
      <c r="Q112" s="11">
        <v>136</v>
      </c>
      <c r="R112" s="15">
        <v>273</v>
      </c>
      <c r="S112" s="18">
        <v>51.1</v>
      </c>
      <c r="T112" s="11">
        <v>791000</v>
      </c>
      <c r="U112" s="16"/>
      <c r="V112" s="9"/>
      <c r="W112" s="17"/>
    </row>
    <row r="113" spans="1:23" x14ac:dyDescent="0.25">
      <c r="A113" s="9" t="s">
        <v>36</v>
      </c>
      <c r="B113" s="14">
        <v>500</v>
      </c>
      <c r="C113" s="10">
        <v>200</v>
      </c>
      <c r="D113" s="11">
        <v>16</v>
      </c>
      <c r="E113" s="11">
        <v>426</v>
      </c>
      <c r="F113" s="11">
        <v>10.199999999999999</v>
      </c>
      <c r="G113" s="18">
        <v>116</v>
      </c>
      <c r="H113" s="15">
        <v>90.7</v>
      </c>
      <c r="I113" s="18">
        <v>48200</v>
      </c>
      <c r="J113" s="11">
        <v>1930</v>
      </c>
      <c r="K113" s="11">
        <v>20.399999999999999</v>
      </c>
      <c r="L113" s="11">
        <v>1100</v>
      </c>
      <c r="M113" s="15">
        <v>2200</v>
      </c>
      <c r="N113" s="18">
        <v>2140</v>
      </c>
      <c r="O113" s="11">
        <v>214</v>
      </c>
      <c r="P113" s="11">
        <v>4.3</v>
      </c>
      <c r="Q113" s="11">
        <v>166</v>
      </c>
      <c r="R113" s="15">
        <v>332</v>
      </c>
      <c r="S113" s="18">
        <v>71.2</v>
      </c>
      <c r="T113" s="11">
        <v>1249000</v>
      </c>
      <c r="U113" s="16"/>
      <c r="V113" s="9"/>
      <c r="W113" s="17"/>
    </row>
    <row r="114" spans="1:23" x14ac:dyDescent="0.25">
      <c r="A114" s="9" t="s">
        <v>36</v>
      </c>
      <c r="B114" s="14">
        <v>550</v>
      </c>
      <c r="C114" s="10">
        <v>210</v>
      </c>
      <c r="D114" s="11">
        <v>17.2</v>
      </c>
      <c r="E114" s="11">
        <v>467</v>
      </c>
      <c r="F114" s="11">
        <v>11.1</v>
      </c>
      <c r="G114" s="18">
        <v>134</v>
      </c>
      <c r="H114" s="15">
        <v>106</v>
      </c>
      <c r="I114" s="18">
        <v>67120</v>
      </c>
      <c r="J114" s="11">
        <v>2440</v>
      </c>
      <c r="K114" s="11">
        <v>22.4</v>
      </c>
      <c r="L114" s="11">
        <v>1390</v>
      </c>
      <c r="M114" s="15">
        <v>2780</v>
      </c>
      <c r="N114" s="18">
        <v>2670</v>
      </c>
      <c r="O114" s="11">
        <v>254</v>
      </c>
      <c r="P114" s="11">
        <v>4.46</v>
      </c>
      <c r="Q114" s="11">
        <v>198</v>
      </c>
      <c r="R114" s="15">
        <v>395</v>
      </c>
      <c r="S114" s="18">
        <v>94.7</v>
      </c>
      <c r="T114" s="11">
        <v>1884000</v>
      </c>
      <c r="U114" s="16"/>
      <c r="V114" s="9"/>
      <c r="W114" s="17"/>
    </row>
    <row r="115" spans="1:23" x14ac:dyDescent="0.25">
      <c r="A115" s="9" t="s">
        <v>36</v>
      </c>
      <c r="B115" s="14">
        <v>600</v>
      </c>
      <c r="C115" s="10">
        <v>220</v>
      </c>
      <c r="D115" s="11">
        <v>19</v>
      </c>
      <c r="E115" s="11">
        <v>514</v>
      </c>
      <c r="F115" s="11">
        <v>12</v>
      </c>
      <c r="G115" s="18">
        <v>156</v>
      </c>
      <c r="H115" s="15">
        <v>122</v>
      </c>
      <c r="I115" s="18">
        <v>92080</v>
      </c>
      <c r="J115" s="11">
        <v>3070</v>
      </c>
      <c r="K115" s="11">
        <v>24.3</v>
      </c>
      <c r="L115" s="11">
        <v>1760</v>
      </c>
      <c r="M115" s="15">
        <v>3520</v>
      </c>
      <c r="N115" s="18">
        <v>3390</v>
      </c>
      <c r="O115" s="11">
        <v>308</v>
      </c>
      <c r="P115" s="11">
        <v>4.66</v>
      </c>
      <c r="Q115" s="11">
        <v>240</v>
      </c>
      <c r="R115" s="15">
        <v>480</v>
      </c>
      <c r="S115" s="18">
        <v>133</v>
      </c>
      <c r="T115" s="11">
        <v>2846000</v>
      </c>
      <c r="U115" s="16"/>
      <c r="V115" s="9"/>
      <c r="W115" s="17"/>
    </row>
    <row r="116" spans="1:23" x14ac:dyDescent="0.25">
      <c r="A116" s="9" t="s">
        <v>37</v>
      </c>
      <c r="B116" s="14">
        <v>1118</v>
      </c>
      <c r="C116" s="10">
        <v>405</v>
      </c>
      <c r="D116" s="11">
        <v>45</v>
      </c>
      <c r="E116" s="11">
        <v>976</v>
      </c>
      <c r="F116" s="11">
        <v>25.9</v>
      </c>
      <c r="G116" s="18">
        <v>634.20000000000005</v>
      </c>
      <c r="H116" s="15">
        <v>498.5</v>
      </c>
      <c r="I116" s="18">
        <v>1294480</v>
      </c>
      <c r="J116" s="11">
        <v>23106</v>
      </c>
      <c r="K116" s="11">
        <v>45.21</v>
      </c>
      <c r="L116" s="11">
        <v>13274</v>
      </c>
      <c r="M116" s="15">
        <v>26547</v>
      </c>
      <c r="N116" s="18">
        <v>49948</v>
      </c>
      <c r="O116" s="11">
        <v>2458</v>
      </c>
      <c r="P116" s="11">
        <v>8.86</v>
      </c>
      <c r="Q116" s="11">
        <v>1934</v>
      </c>
      <c r="R116" s="15">
        <v>3867</v>
      </c>
      <c r="S116" s="18">
        <v>3097</v>
      </c>
      <c r="T116" s="11">
        <v>143935224</v>
      </c>
      <c r="U116" s="16"/>
      <c r="V116" s="9"/>
      <c r="W116" s="17"/>
    </row>
    <row r="117" spans="1:23" x14ac:dyDescent="0.25">
      <c r="A117" s="9" t="s">
        <v>37</v>
      </c>
      <c r="B117" s="14">
        <v>1108</v>
      </c>
      <c r="C117" s="10">
        <v>402</v>
      </c>
      <c r="D117" s="11">
        <v>40.1</v>
      </c>
      <c r="E117" s="11">
        <v>976</v>
      </c>
      <c r="F117" s="11">
        <v>22.1</v>
      </c>
      <c r="G117" s="18">
        <v>553.5</v>
      </c>
      <c r="H117" s="15">
        <v>431.6</v>
      </c>
      <c r="I117" s="18">
        <v>1127987</v>
      </c>
      <c r="J117" s="11">
        <v>20320</v>
      </c>
      <c r="K117" s="11">
        <v>45.21</v>
      </c>
      <c r="L117" s="11">
        <v>11635</v>
      </c>
      <c r="M117" s="15">
        <v>23270</v>
      </c>
      <c r="N117" s="18">
        <v>43704</v>
      </c>
      <c r="O117" s="11">
        <v>2179</v>
      </c>
      <c r="P117" s="11">
        <v>8.89</v>
      </c>
      <c r="Q117" s="11">
        <v>1688</v>
      </c>
      <c r="R117" s="15">
        <v>3376</v>
      </c>
      <c r="S117" s="18">
        <v>2144</v>
      </c>
      <c r="T117" s="11">
        <v>124332106</v>
      </c>
      <c r="U117" s="16"/>
      <c r="V117" s="9"/>
      <c r="W117" s="17"/>
    </row>
    <row r="118" spans="1:23" x14ac:dyDescent="0.25">
      <c r="A118" s="9" t="s">
        <v>37</v>
      </c>
      <c r="B118" s="14">
        <v>1100</v>
      </c>
      <c r="C118" s="10">
        <v>400</v>
      </c>
      <c r="D118" s="11">
        <v>36.1</v>
      </c>
      <c r="E118" s="11">
        <v>976</v>
      </c>
      <c r="F118" s="11">
        <v>20.100000000000001</v>
      </c>
      <c r="G118" s="18">
        <v>498.1</v>
      </c>
      <c r="H118" s="15">
        <v>389.9</v>
      </c>
      <c r="I118" s="18">
        <v>1007280</v>
      </c>
      <c r="J118" s="11">
        <v>18354</v>
      </c>
      <c r="K118" s="11">
        <v>44.96</v>
      </c>
      <c r="L118" s="11">
        <v>10406</v>
      </c>
      <c r="M118" s="15">
        <v>20812</v>
      </c>
      <c r="N118" s="18">
        <v>38585</v>
      </c>
      <c r="O118" s="11">
        <v>1934</v>
      </c>
      <c r="P118" s="11">
        <v>8.7899999999999991</v>
      </c>
      <c r="Q118" s="11">
        <v>1499</v>
      </c>
      <c r="R118" s="15">
        <v>2999</v>
      </c>
      <c r="S118" s="18">
        <v>1569</v>
      </c>
      <c r="T118" s="11">
        <v>109025562</v>
      </c>
      <c r="U118" s="16"/>
      <c r="V118" s="9"/>
      <c r="W118" s="17"/>
    </row>
    <row r="119" spans="1:23" x14ac:dyDescent="0.25">
      <c r="A119" s="9" t="s">
        <v>37</v>
      </c>
      <c r="B119" s="14">
        <v>1090</v>
      </c>
      <c r="C119" s="10">
        <v>400</v>
      </c>
      <c r="D119" s="11">
        <v>31</v>
      </c>
      <c r="E119" s="11">
        <v>976</v>
      </c>
      <c r="F119" s="11">
        <v>18</v>
      </c>
      <c r="G119" s="18">
        <v>436.8</v>
      </c>
      <c r="H119" s="15">
        <v>342.3</v>
      </c>
      <c r="I119" s="18">
        <v>865761</v>
      </c>
      <c r="J119" s="11">
        <v>15879</v>
      </c>
      <c r="K119" s="11">
        <v>44.45</v>
      </c>
      <c r="L119" s="11">
        <v>9013</v>
      </c>
      <c r="M119" s="15">
        <v>18026</v>
      </c>
      <c r="N119" s="18">
        <v>33132</v>
      </c>
      <c r="O119" s="11">
        <v>1655</v>
      </c>
      <c r="P119" s="11">
        <v>8.7100000000000009</v>
      </c>
      <c r="Q119" s="11">
        <v>1286</v>
      </c>
      <c r="R119" s="15">
        <v>2573</v>
      </c>
      <c r="S119" s="18">
        <v>1036</v>
      </c>
      <c r="T119" s="11">
        <v>92913410</v>
      </c>
      <c r="U119" s="16"/>
      <c r="V119" s="9"/>
      <c r="W119" s="17"/>
    </row>
    <row r="120" spans="1:23" x14ac:dyDescent="0.25">
      <c r="A120" s="9" t="s">
        <v>37</v>
      </c>
      <c r="B120" s="14">
        <v>1092</v>
      </c>
      <c r="C120" s="10">
        <v>424</v>
      </c>
      <c r="D120" s="11">
        <v>82</v>
      </c>
      <c r="E120" s="11">
        <v>875</v>
      </c>
      <c r="F120" s="11">
        <v>45.5</v>
      </c>
      <c r="G120" s="18">
        <v>1123</v>
      </c>
      <c r="H120" s="15">
        <v>882.5</v>
      </c>
      <c r="I120" s="18">
        <v>2097806</v>
      </c>
      <c r="J120" s="11">
        <v>38346</v>
      </c>
      <c r="K120" s="11">
        <v>43.18</v>
      </c>
      <c r="L120" s="11">
        <v>22614</v>
      </c>
      <c r="M120" s="15">
        <v>45228</v>
      </c>
      <c r="N120" s="18">
        <v>104890</v>
      </c>
      <c r="O120" s="11">
        <v>4949</v>
      </c>
      <c r="P120" s="11">
        <v>9.68</v>
      </c>
      <c r="Q120" s="11">
        <v>3941</v>
      </c>
      <c r="R120" s="15">
        <v>7882</v>
      </c>
      <c r="S120" s="18">
        <v>18772</v>
      </c>
      <c r="T120" s="11">
        <v>265581972</v>
      </c>
      <c r="U120" s="16"/>
      <c r="V120" s="9"/>
      <c r="W120" s="17"/>
    </row>
    <row r="121" spans="1:23" x14ac:dyDescent="0.25">
      <c r="A121" s="9" t="s">
        <v>37</v>
      </c>
      <c r="B121" s="14">
        <v>1068</v>
      </c>
      <c r="C121" s="10">
        <v>417</v>
      </c>
      <c r="D121" s="11">
        <v>70.099999999999994</v>
      </c>
      <c r="E121" s="11">
        <v>875</v>
      </c>
      <c r="F121" s="11">
        <v>39.1</v>
      </c>
      <c r="G121" s="18">
        <v>954.8</v>
      </c>
      <c r="H121" s="15">
        <v>748.5</v>
      </c>
      <c r="I121" s="18">
        <v>1735685</v>
      </c>
      <c r="J121" s="11">
        <v>32446</v>
      </c>
      <c r="K121" s="11">
        <v>42.67</v>
      </c>
      <c r="L121" s="11">
        <v>18845</v>
      </c>
      <c r="M121" s="15">
        <v>37690</v>
      </c>
      <c r="N121" s="18">
        <v>85327</v>
      </c>
      <c r="O121" s="11">
        <v>4097</v>
      </c>
      <c r="P121" s="11">
        <v>9.4499999999999993</v>
      </c>
      <c r="Q121" s="11">
        <v>3228</v>
      </c>
      <c r="R121" s="15">
        <v>6457</v>
      </c>
      <c r="S121" s="18">
        <v>7742</v>
      </c>
      <c r="T121" s="11">
        <v>174279777</v>
      </c>
      <c r="U121" s="16"/>
      <c r="V121" s="9"/>
      <c r="W121" s="17"/>
    </row>
    <row r="122" spans="1:23" x14ac:dyDescent="0.25">
      <c r="A122" s="9" t="s">
        <v>37</v>
      </c>
      <c r="B122" s="14">
        <v>1048</v>
      </c>
      <c r="C122" s="10">
        <v>412</v>
      </c>
      <c r="D122" s="11">
        <v>59.9</v>
      </c>
      <c r="E122" s="11">
        <v>875</v>
      </c>
      <c r="F122" s="11">
        <v>34</v>
      </c>
      <c r="G122" s="18">
        <v>819.4</v>
      </c>
      <c r="H122" s="15">
        <v>641.4</v>
      </c>
      <c r="I122" s="18">
        <v>1448485</v>
      </c>
      <c r="J122" s="11">
        <v>27694</v>
      </c>
      <c r="K122" s="11">
        <v>42.16</v>
      </c>
      <c r="L122" s="11">
        <v>15977</v>
      </c>
      <c r="M122" s="15">
        <v>31955</v>
      </c>
      <c r="N122" s="18">
        <v>70343</v>
      </c>
      <c r="O122" s="11">
        <v>3409</v>
      </c>
      <c r="P122" s="11">
        <v>9.27</v>
      </c>
      <c r="Q122" s="11">
        <v>2679</v>
      </c>
      <c r="R122" s="15">
        <v>5359</v>
      </c>
      <c r="S122" s="18">
        <v>5910</v>
      </c>
      <c r="T122" s="11">
        <v>154945195</v>
      </c>
      <c r="U122" s="16"/>
      <c r="V122" s="9"/>
      <c r="W122" s="17"/>
    </row>
    <row r="123" spans="1:23" x14ac:dyDescent="0.25">
      <c r="A123" s="9" t="s">
        <v>37</v>
      </c>
      <c r="B123" s="14">
        <v>1032</v>
      </c>
      <c r="C123" s="10">
        <v>408</v>
      </c>
      <c r="D123" s="11">
        <v>52.1</v>
      </c>
      <c r="E123" s="11">
        <v>875</v>
      </c>
      <c r="F123" s="11">
        <v>29.5</v>
      </c>
      <c r="G123" s="18">
        <v>703.2</v>
      </c>
      <c r="H123" s="15">
        <v>553.6</v>
      </c>
      <c r="I123" s="18">
        <v>1232045</v>
      </c>
      <c r="J123" s="11">
        <v>23925</v>
      </c>
      <c r="K123" s="11">
        <v>41.66</v>
      </c>
      <c r="L123" s="11">
        <v>13683</v>
      </c>
      <c r="M123" s="15">
        <v>27366</v>
      </c>
      <c r="N123" s="18">
        <v>59105</v>
      </c>
      <c r="O123" s="11">
        <v>2901</v>
      </c>
      <c r="P123" s="11">
        <v>9.14</v>
      </c>
      <c r="Q123" s="11">
        <v>2270</v>
      </c>
      <c r="R123" s="15">
        <v>4539</v>
      </c>
      <c r="S123" s="18">
        <v>4537</v>
      </c>
      <c r="T123" s="11">
        <v>137221828</v>
      </c>
      <c r="U123" s="16"/>
      <c r="V123" s="9"/>
      <c r="W123" s="17"/>
    </row>
    <row r="124" spans="1:23" x14ac:dyDescent="0.25">
      <c r="A124" s="9" t="s">
        <v>37</v>
      </c>
      <c r="B124" s="14">
        <v>1018</v>
      </c>
      <c r="C124" s="10">
        <v>404</v>
      </c>
      <c r="D124" s="11">
        <v>45</v>
      </c>
      <c r="E124" s="11">
        <v>875</v>
      </c>
      <c r="F124" s="11">
        <v>25.4</v>
      </c>
      <c r="G124" s="18">
        <v>607.1</v>
      </c>
      <c r="H124" s="15">
        <v>477.7</v>
      </c>
      <c r="I124" s="18">
        <v>1044741</v>
      </c>
      <c r="J124" s="11">
        <v>20484</v>
      </c>
      <c r="K124" s="11">
        <v>41.4</v>
      </c>
      <c r="L124" s="11">
        <v>11635</v>
      </c>
      <c r="M124" s="15">
        <v>23270</v>
      </c>
      <c r="N124" s="18">
        <v>49532</v>
      </c>
      <c r="O124" s="11">
        <v>2458</v>
      </c>
      <c r="P124" s="11">
        <v>9.0399999999999991</v>
      </c>
      <c r="Q124" s="11">
        <v>1917</v>
      </c>
      <c r="R124" s="15">
        <v>3835</v>
      </c>
      <c r="S124" s="18">
        <v>3305</v>
      </c>
      <c r="T124" s="11">
        <v>119766996</v>
      </c>
      <c r="U124" s="16"/>
      <c r="V124" s="9"/>
      <c r="W124" s="17"/>
    </row>
    <row r="125" spans="1:23" x14ac:dyDescent="0.25">
      <c r="A125" s="9" t="s">
        <v>37</v>
      </c>
      <c r="B125" s="14">
        <v>1012</v>
      </c>
      <c r="C125" s="10">
        <v>402</v>
      </c>
      <c r="D125" s="11">
        <v>41.9</v>
      </c>
      <c r="E125" s="11">
        <v>875</v>
      </c>
      <c r="F125" s="11">
        <v>23.6</v>
      </c>
      <c r="G125" s="18">
        <v>563.9</v>
      </c>
      <c r="H125" s="15">
        <v>442</v>
      </c>
      <c r="I125" s="18">
        <v>965657</v>
      </c>
      <c r="J125" s="11">
        <v>19173</v>
      </c>
      <c r="K125" s="11">
        <v>41.4</v>
      </c>
      <c r="L125" s="11">
        <v>10897</v>
      </c>
      <c r="M125" s="15">
        <v>21795</v>
      </c>
      <c r="N125" s="18">
        <v>45369</v>
      </c>
      <c r="O125" s="11">
        <v>2261</v>
      </c>
      <c r="P125" s="11">
        <v>8.99</v>
      </c>
      <c r="Q125" s="11">
        <v>1762</v>
      </c>
      <c r="R125" s="15">
        <v>3523</v>
      </c>
      <c r="S125" s="18">
        <v>2547</v>
      </c>
      <c r="T125" s="11">
        <v>106608739</v>
      </c>
      <c r="U125" s="16"/>
      <c r="V125" s="9"/>
      <c r="W125" s="17"/>
    </row>
    <row r="126" spans="1:23" x14ac:dyDescent="0.25">
      <c r="A126" s="9" t="s">
        <v>37</v>
      </c>
      <c r="B126" s="14">
        <v>1008</v>
      </c>
      <c r="C126" s="10">
        <v>402</v>
      </c>
      <c r="D126" s="11">
        <v>40</v>
      </c>
      <c r="E126" s="11">
        <v>875</v>
      </c>
      <c r="F126" s="11">
        <v>21.1</v>
      </c>
      <c r="G126" s="18">
        <v>524.5</v>
      </c>
      <c r="H126" s="15">
        <v>412.2</v>
      </c>
      <c r="I126" s="18">
        <v>911547</v>
      </c>
      <c r="J126" s="11">
        <v>18026</v>
      </c>
      <c r="K126" s="11">
        <v>41.66</v>
      </c>
      <c r="L126" s="11">
        <v>10242</v>
      </c>
      <c r="M126" s="15">
        <v>20484</v>
      </c>
      <c r="N126" s="18">
        <v>43288</v>
      </c>
      <c r="O126" s="11">
        <v>2163</v>
      </c>
      <c r="P126" s="11">
        <v>9.09</v>
      </c>
      <c r="Q126" s="11">
        <v>1671</v>
      </c>
      <c r="R126" s="15">
        <v>3343</v>
      </c>
      <c r="S126" s="18">
        <v>2127</v>
      </c>
      <c r="T126" s="11">
        <v>101506558</v>
      </c>
      <c r="U126" s="16"/>
      <c r="V126" s="9"/>
      <c r="W126" s="17"/>
    </row>
    <row r="127" spans="1:23" x14ac:dyDescent="0.25">
      <c r="A127" s="9" t="s">
        <v>37</v>
      </c>
      <c r="B127" s="14">
        <v>1000</v>
      </c>
      <c r="C127" s="10">
        <v>400</v>
      </c>
      <c r="D127" s="11">
        <v>36.1</v>
      </c>
      <c r="E127" s="11">
        <v>875</v>
      </c>
      <c r="F127" s="11">
        <v>19.100000000000001</v>
      </c>
      <c r="G127" s="18">
        <v>472.9</v>
      </c>
      <c r="H127" s="15">
        <v>370.6</v>
      </c>
      <c r="I127" s="18">
        <v>811651</v>
      </c>
      <c r="J127" s="11">
        <v>16256</v>
      </c>
      <c r="K127" s="11">
        <v>41.4</v>
      </c>
      <c r="L127" s="11">
        <v>9177</v>
      </c>
      <c r="M127" s="15">
        <v>18354</v>
      </c>
      <c r="N127" s="18">
        <v>38543</v>
      </c>
      <c r="O127" s="11">
        <v>1934</v>
      </c>
      <c r="P127" s="11">
        <v>9.0399999999999991</v>
      </c>
      <c r="Q127" s="11">
        <v>1491</v>
      </c>
      <c r="R127" s="15">
        <v>2982</v>
      </c>
      <c r="S127" s="18">
        <v>1569</v>
      </c>
      <c r="T127" s="11">
        <v>89422444</v>
      </c>
      <c r="U127" s="16"/>
      <c r="V127" s="9"/>
      <c r="W127" s="17"/>
    </row>
    <row r="128" spans="1:23" x14ac:dyDescent="0.25">
      <c r="A128" s="9" t="s">
        <v>37</v>
      </c>
      <c r="B128" s="14">
        <v>990</v>
      </c>
      <c r="C128" s="10">
        <v>400</v>
      </c>
      <c r="D128" s="11">
        <v>31</v>
      </c>
      <c r="E128" s="11">
        <v>875</v>
      </c>
      <c r="F128" s="11">
        <v>16.5</v>
      </c>
      <c r="G128" s="18">
        <v>408.4</v>
      </c>
      <c r="H128" s="15">
        <v>320</v>
      </c>
      <c r="I128" s="18">
        <v>695106</v>
      </c>
      <c r="J128" s="11">
        <v>14060</v>
      </c>
      <c r="K128" s="11">
        <v>41.15</v>
      </c>
      <c r="L128" s="11">
        <v>7890</v>
      </c>
      <c r="M128" s="15">
        <v>15781</v>
      </c>
      <c r="N128" s="18">
        <v>33132</v>
      </c>
      <c r="O128" s="11">
        <v>1655</v>
      </c>
      <c r="P128" s="11">
        <v>8.99</v>
      </c>
      <c r="Q128" s="11">
        <v>1278</v>
      </c>
      <c r="R128" s="15">
        <v>2556</v>
      </c>
      <c r="S128" s="18">
        <v>1016</v>
      </c>
      <c r="T128" s="11">
        <v>75995650</v>
      </c>
      <c r="U128" s="16"/>
      <c r="V128" s="9"/>
      <c r="W128" s="17"/>
    </row>
    <row r="129" spans="1:23" x14ac:dyDescent="0.25">
      <c r="A129" s="9" t="s">
        <v>37</v>
      </c>
      <c r="B129" s="14">
        <v>982</v>
      </c>
      <c r="C129" s="10">
        <v>400</v>
      </c>
      <c r="D129" s="11">
        <v>27.1</v>
      </c>
      <c r="E129" s="11">
        <v>875</v>
      </c>
      <c r="F129" s="11">
        <v>16.5</v>
      </c>
      <c r="G129" s="18">
        <v>376.8</v>
      </c>
      <c r="H129" s="15">
        <v>296.10000000000002</v>
      </c>
      <c r="I129" s="18">
        <v>620185</v>
      </c>
      <c r="J129" s="11">
        <v>12602</v>
      </c>
      <c r="K129" s="11">
        <v>40.64</v>
      </c>
      <c r="L129" s="11">
        <v>7112</v>
      </c>
      <c r="M129" s="15">
        <v>14224</v>
      </c>
      <c r="N129" s="18">
        <v>28928</v>
      </c>
      <c r="O129" s="11">
        <v>1445</v>
      </c>
      <c r="P129" s="11">
        <v>8.76</v>
      </c>
      <c r="Q129" s="11">
        <v>1123</v>
      </c>
      <c r="R129" s="15">
        <v>2245</v>
      </c>
      <c r="S129" s="18">
        <v>753.4</v>
      </c>
      <c r="T129" s="11">
        <v>65791287</v>
      </c>
      <c r="U129" s="16"/>
      <c r="V129" s="9"/>
      <c r="W129" s="17"/>
    </row>
    <row r="130" spans="1:23" x14ac:dyDescent="0.25">
      <c r="A130" s="9" t="s">
        <v>37</v>
      </c>
      <c r="B130" s="14">
        <v>970</v>
      </c>
      <c r="C130" s="10">
        <v>400</v>
      </c>
      <c r="D130" s="11">
        <v>21.1</v>
      </c>
      <c r="E130" s="11">
        <v>875</v>
      </c>
      <c r="F130" s="11">
        <v>16.5</v>
      </c>
      <c r="G130" s="18">
        <v>329.7</v>
      </c>
      <c r="H130" s="15">
        <v>258.89999999999998</v>
      </c>
      <c r="I130" s="18">
        <v>507802</v>
      </c>
      <c r="J130" s="11">
        <v>10471</v>
      </c>
      <c r="K130" s="11">
        <v>39.369999999999997</v>
      </c>
      <c r="L130" s="11">
        <v>5858</v>
      </c>
      <c r="M130" s="15">
        <v>11717</v>
      </c>
      <c r="N130" s="18">
        <v>22518</v>
      </c>
      <c r="O130" s="11">
        <v>1127</v>
      </c>
      <c r="P130" s="11">
        <v>8.2799999999999994</v>
      </c>
      <c r="Q130" s="11">
        <v>877</v>
      </c>
      <c r="R130" s="15">
        <v>1753</v>
      </c>
      <c r="S130" s="18">
        <v>466.2</v>
      </c>
      <c r="T130" s="11">
        <v>50753279</v>
      </c>
      <c r="U130" s="16"/>
      <c r="V130" s="9"/>
      <c r="W130" s="17"/>
    </row>
    <row r="131" spans="1:23" x14ac:dyDescent="0.25">
      <c r="A131" s="9" t="s">
        <v>37</v>
      </c>
      <c r="B131" s="14">
        <v>1078</v>
      </c>
      <c r="C131" s="10">
        <v>321</v>
      </c>
      <c r="D131" s="11">
        <v>74.900000000000006</v>
      </c>
      <c r="E131" s="11">
        <v>875</v>
      </c>
      <c r="F131" s="11">
        <v>42.4</v>
      </c>
      <c r="G131" s="18">
        <v>883.9</v>
      </c>
      <c r="H131" s="15">
        <v>693.5</v>
      </c>
      <c r="I131" s="18">
        <v>1510920</v>
      </c>
      <c r="J131" s="11">
        <v>28022</v>
      </c>
      <c r="K131" s="11">
        <v>41.4</v>
      </c>
      <c r="L131" s="11">
        <v>16797</v>
      </c>
      <c r="M131" s="15">
        <v>33593</v>
      </c>
      <c r="N131" s="18">
        <v>42039</v>
      </c>
      <c r="O131" s="11">
        <v>2622</v>
      </c>
      <c r="P131" s="11">
        <v>6.91</v>
      </c>
      <c r="Q131" s="11">
        <v>2147</v>
      </c>
      <c r="R131" s="15">
        <v>4293</v>
      </c>
      <c r="S131" s="18">
        <v>11530</v>
      </c>
      <c r="T131" s="11">
        <v>105534596</v>
      </c>
      <c r="U131" s="16"/>
      <c r="V131" s="9"/>
      <c r="W131" s="17"/>
    </row>
    <row r="132" spans="1:23" x14ac:dyDescent="0.25">
      <c r="A132" s="9" t="s">
        <v>37</v>
      </c>
      <c r="B132" s="14">
        <v>1056</v>
      </c>
      <c r="C132" s="10">
        <v>314</v>
      </c>
      <c r="D132" s="11">
        <v>64</v>
      </c>
      <c r="E132" s="11">
        <v>875</v>
      </c>
      <c r="F132" s="11">
        <v>36.1</v>
      </c>
      <c r="G132" s="18">
        <v>741.9</v>
      </c>
      <c r="H132" s="15">
        <v>583.4</v>
      </c>
      <c r="I132" s="18">
        <v>1244532</v>
      </c>
      <c r="J132" s="11">
        <v>23597</v>
      </c>
      <c r="K132" s="11">
        <v>40.89</v>
      </c>
      <c r="L132" s="11">
        <v>14011</v>
      </c>
      <c r="M132" s="15">
        <v>28022</v>
      </c>
      <c r="N132" s="18">
        <v>33423</v>
      </c>
      <c r="O132" s="11">
        <v>2130</v>
      </c>
      <c r="P132" s="11">
        <v>6.71</v>
      </c>
      <c r="Q132" s="11">
        <v>1737</v>
      </c>
      <c r="R132" s="15">
        <v>3474</v>
      </c>
      <c r="S132" s="18">
        <v>7159</v>
      </c>
      <c r="T132" s="11">
        <v>82171975</v>
      </c>
      <c r="U132" s="16"/>
      <c r="V132" s="9"/>
      <c r="W132" s="17"/>
    </row>
    <row r="133" spans="1:23" x14ac:dyDescent="0.25">
      <c r="A133" s="9" t="s">
        <v>37</v>
      </c>
      <c r="B133" s="14">
        <v>1036</v>
      </c>
      <c r="C133" s="10">
        <v>309</v>
      </c>
      <c r="D133" s="11">
        <v>54.1</v>
      </c>
      <c r="E133" s="11">
        <v>875</v>
      </c>
      <c r="F133" s="11">
        <v>31</v>
      </c>
      <c r="G133" s="18">
        <v>629.70000000000005</v>
      </c>
      <c r="H133" s="15">
        <v>492.6</v>
      </c>
      <c r="I133" s="18">
        <v>1028092</v>
      </c>
      <c r="J133" s="11">
        <v>19828</v>
      </c>
      <c r="K133" s="11">
        <v>40.39</v>
      </c>
      <c r="L133" s="11">
        <v>11717</v>
      </c>
      <c r="M133" s="15">
        <v>23434</v>
      </c>
      <c r="N133" s="18">
        <v>26889</v>
      </c>
      <c r="O133" s="11">
        <v>1737</v>
      </c>
      <c r="P133" s="11">
        <v>6.53</v>
      </c>
      <c r="Q133" s="11">
        <v>1409</v>
      </c>
      <c r="R133" s="15">
        <v>2819</v>
      </c>
      <c r="S133" s="18">
        <v>4412</v>
      </c>
      <c r="T133" s="11">
        <v>64985680</v>
      </c>
      <c r="U133" s="16"/>
      <c r="V133" s="9"/>
      <c r="W133" s="17"/>
    </row>
    <row r="134" spans="1:23" x14ac:dyDescent="0.25">
      <c r="A134" s="9" t="s">
        <v>37</v>
      </c>
      <c r="B134" s="14">
        <v>1020</v>
      </c>
      <c r="C134" s="10">
        <v>304</v>
      </c>
      <c r="D134" s="11">
        <v>46</v>
      </c>
      <c r="E134" s="11">
        <v>875</v>
      </c>
      <c r="F134" s="11">
        <v>25.9</v>
      </c>
      <c r="G134" s="18">
        <v>527.70000000000005</v>
      </c>
      <c r="H134" s="15">
        <v>413.7</v>
      </c>
      <c r="I134" s="18">
        <v>853274</v>
      </c>
      <c r="J134" s="11">
        <v>16715</v>
      </c>
      <c r="K134" s="11">
        <v>40.130000000000003</v>
      </c>
      <c r="L134" s="11">
        <v>9750</v>
      </c>
      <c r="M134" s="15">
        <v>19501</v>
      </c>
      <c r="N134" s="18">
        <v>21686</v>
      </c>
      <c r="O134" s="11">
        <v>1427</v>
      </c>
      <c r="P134" s="11">
        <v>6.4</v>
      </c>
      <c r="Q134" s="11">
        <v>1147</v>
      </c>
      <c r="R134" s="15">
        <v>2294</v>
      </c>
      <c r="S134" s="18">
        <v>2693</v>
      </c>
      <c r="T134" s="11">
        <v>51558886</v>
      </c>
      <c r="U134" s="16"/>
      <c r="V134" s="9"/>
      <c r="W134" s="17"/>
    </row>
    <row r="135" spans="1:23" x14ac:dyDescent="0.25">
      <c r="A135" s="9" t="s">
        <v>37</v>
      </c>
      <c r="B135" s="14">
        <v>1016</v>
      </c>
      <c r="C135" s="10">
        <v>303</v>
      </c>
      <c r="D135" s="11">
        <v>43.9</v>
      </c>
      <c r="E135" s="11">
        <v>875</v>
      </c>
      <c r="F135" s="11">
        <v>24.4</v>
      </c>
      <c r="G135" s="18">
        <v>500.6</v>
      </c>
      <c r="H135" s="15">
        <v>392.9</v>
      </c>
      <c r="I135" s="18">
        <v>807489</v>
      </c>
      <c r="J135" s="11">
        <v>15912</v>
      </c>
      <c r="K135" s="11">
        <v>40.130000000000003</v>
      </c>
      <c r="L135" s="11">
        <v>9259</v>
      </c>
      <c r="M135" s="15">
        <v>18517</v>
      </c>
      <c r="N135" s="18">
        <v>20520</v>
      </c>
      <c r="O135" s="11">
        <v>1354</v>
      </c>
      <c r="P135" s="11">
        <v>6.4</v>
      </c>
      <c r="Q135" s="11">
        <v>1082</v>
      </c>
      <c r="R135" s="15">
        <v>2163</v>
      </c>
      <c r="S135" s="18">
        <v>2335</v>
      </c>
      <c r="T135" s="11">
        <v>48604992</v>
      </c>
      <c r="U135" s="16"/>
      <c r="V135" s="9"/>
      <c r="W135" s="17"/>
    </row>
    <row r="136" spans="1:23" x14ac:dyDescent="0.25">
      <c r="A136" s="9" t="s">
        <v>37</v>
      </c>
      <c r="B136" s="14">
        <v>1008</v>
      </c>
      <c r="C136" s="10">
        <v>302</v>
      </c>
      <c r="D136" s="11">
        <v>40</v>
      </c>
      <c r="E136" s="11">
        <v>875</v>
      </c>
      <c r="F136" s="11">
        <v>21.1</v>
      </c>
      <c r="G136" s="18">
        <v>444.5</v>
      </c>
      <c r="H136" s="15">
        <v>349.7</v>
      </c>
      <c r="I136" s="18">
        <v>724243</v>
      </c>
      <c r="J136" s="11">
        <v>14322</v>
      </c>
      <c r="K136" s="11">
        <v>40.39</v>
      </c>
      <c r="L136" s="11">
        <v>8275</v>
      </c>
      <c r="M136" s="15">
        <v>16551</v>
      </c>
      <c r="N136" s="18">
        <v>18481</v>
      </c>
      <c r="O136" s="11">
        <v>1222</v>
      </c>
      <c r="P136" s="11">
        <v>6.45</v>
      </c>
      <c r="Q136" s="11">
        <v>967</v>
      </c>
      <c r="R136" s="15">
        <v>1934</v>
      </c>
      <c r="S136" s="18">
        <v>1719</v>
      </c>
      <c r="T136" s="11">
        <v>43234275</v>
      </c>
      <c r="U136" s="16"/>
      <c r="V136" s="9"/>
      <c r="W136" s="17"/>
    </row>
    <row r="137" spans="1:23" x14ac:dyDescent="0.25">
      <c r="A137" s="9" t="s">
        <v>37</v>
      </c>
      <c r="B137" s="14">
        <v>1000</v>
      </c>
      <c r="C137" s="10">
        <v>300</v>
      </c>
      <c r="D137" s="11">
        <v>35.9</v>
      </c>
      <c r="E137" s="11">
        <v>875</v>
      </c>
      <c r="F137" s="11">
        <v>19.100000000000001</v>
      </c>
      <c r="G137" s="18">
        <v>400</v>
      </c>
      <c r="H137" s="15">
        <v>314</v>
      </c>
      <c r="I137" s="18">
        <v>645159</v>
      </c>
      <c r="J137" s="11">
        <v>12864</v>
      </c>
      <c r="K137" s="11">
        <v>40.130000000000003</v>
      </c>
      <c r="L137" s="11">
        <v>7415</v>
      </c>
      <c r="M137" s="15">
        <v>14830</v>
      </c>
      <c r="N137" s="18">
        <v>16233</v>
      </c>
      <c r="O137" s="11">
        <v>1083</v>
      </c>
      <c r="P137" s="11">
        <v>6.38</v>
      </c>
      <c r="Q137" s="11">
        <v>860</v>
      </c>
      <c r="R137" s="15">
        <v>1721</v>
      </c>
      <c r="S137" s="18">
        <v>1265</v>
      </c>
      <c r="T137" s="11">
        <v>37595021</v>
      </c>
      <c r="U137" s="16"/>
      <c r="V137" s="9"/>
      <c r="W137" s="17"/>
    </row>
    <row r="138" spans="1:23" x14ac:dyDescent="0.25">
      <c r="A138" s="9" t="s">
        <v>37</v>
      </c>
      <c r="B138" s="14">
        <v>990</v>
      </c>
      <c r="C138" s="10">
        <v>300</v>
      </c>
      <c r="D138" s="11">
        <v>31</v>
      </c>
      <c r="E138" s="11">
        <v>875</v>
      </c>
      <c r="F138" s="11">
        <v>16.5</v>
      </c>
      <c r="G138" s="18">
        <v>346.5</v>
      </c>
      <c r="H138" s="15">
        <v>272.3</v>
      </c>
      <c r="I138" s="18">
        <v>553588</v>
      </c>
      <c r="J138" s="11">
        <v>11176</v>
      </c>
      <c r="K138" s="11">
        <v>39.880000000000003</v>
      </c>
      <c r="L138" s="11">
        <v>6399</v>
      </c>
      <c r="M138" s="15">
        <v>12798</v>
      </c>
      <c r="N138" s="18">
        <v>13985</v>
      </c>
      <c r="O138" s="11">
        <v>932</v>
      </c>
      <c r="P138" s="11">
        <v>6.35</v>
      </c>
      <c r="Q138" s="11">
        <v>734</v>
      </c>
      <c r="R138" s="15">
        <v>1468</v>
      </c>
      <c r="S138" s="18">
        <v>815.8</v>
      </c>
      <c r="T138" s="11">
        <v>31955768</v>
      </c>
      <c r="U138" s="16"/>
      <c r="V138" s="9"/>
      <c r="W138" s="17"/>
    </row>
    <row r="139" spans="1:23" x14ac:dyDescent="0.25">
      <c r="A139" s="9" t="s">
        <v>37</v>
      </c>
      <c r="B139" s="14">
        <v>980</v>
      </c>
      <c r="C139" s="10">
        <v>300</v>
      </c>
      <c r="D139" s="11">
        <v>26</v>
      </c>
      <c r="E139" s="11">
        <v>875</v>
      </c>
      <c r="F139" s="11">
        <v>16.5</v>
      </c>
      <c r="G139" s="18">
        <v>316.8</v>
      </c>
      <c r="H139" s="15">
        <v>248.5</v>
      </c>
      <c r="I139" s="18">
        <v>482828</v>
      </c>
      <c r="J139" s="11">
        <v>9816</v>
      </c>
      <c r="K139" s="11">
        <v>38.86</v>
      </c>
      <c r="L139" s="11">
        <v>5670</v>
      </c>
      <c r="M139" s="15">
        <v>11340</v>
      </c>
      <c r="N139" s="18">
        <v>11779</v>
      </c>
      <c r="O139" s="11">
        <v>785</v>
      </c>
      <c r="P139" s="11">
        <v>6.1</v>
      </c>
      <c r="Q139" s="11">
        <v>623</v>
      </c>
      <c r="R139" s="15">
        <v>1245</v>
      </c>
      <c r="S139" s="18">
        <v>582.70000000000005</v>
      </c>
      <c r="T139" s="11">
        <v>26665612</v>
      </c>
      <c r="U139" s="16"/>
      <c r="V139" s="9"/>
      <c r="W139" s="17"/>
    </row>
    <row r="140" spans="1:23" x14ac:dyDescent="0.25">
      <c r="A140" s="9" t="s">
        <v>37</v>
      </c>
      <c r="B140" s="14">
        <v>970</v>
      </c>
      <c r="C140" s="10">
        <v>300</v>
      </c>
      <c r="D140" s="11">
        <v>21.1</v>
      </c>
      <c r="E140" s="11">
        <v>875</v>
      </c>
      <c r="F140" s="11">
        <v>16</v>
      </c>
      <c r="G140" s="18">
        <v>282.60000000000002</v>
      </c>
      <c r="H140" s="15">
        <v>221.7</v>
      </c>
      <c r="I140" s="18">
        <v>407074</v>
      </c>
      <c r="J140" s="11">
        <v>8390</v>
      </c>
      <c r="K140" s="11">
        <v>37.85</v>
      </c>
      <c r="L140" s="11">
        <v>4892</v>
      </c>
      <c r="M140" s="15">
        <v>9783</v>
      </c>
      <c r="N140" s="18">
        <v>9532</v>
      </c>
      <c r="O140" s="11">
        <v>636</v>
      </c>
      <c r="P140" s="11">
        <v>5.82</v>
      </c>
      <c r="Q140" s="11">
        <v>510</v>
      </c>
      <c r="R140" s="15">
        <v>1019</v>
      </c>
      <c r="S140" s="18">
        <v>399.6</v>
      </c>
      <c r="T140" s="11">
        <v>21375455</v>
      </c>
      <c r="U140" s="16"/>
      <c r="V140" s="9"/>
      <c r="W140" s="17"/>
    </row>
    <row r="141" spans="1:23" x14ac:dyDescent="0.25">
      <c r="A141" s="9" t="s">
        <v>37</v>
      </c>
      <c r="B141" s="14">
        <v>1078</v>
      </c>
      <c r="C141" s="10">
        <v>461</v>
      </c>
      <c r="D141" s="11">
        <v>115</v>
      </c>
      <c r="E141" s="11">
        <v>799</v>
      </c>
      <c r="F141" s="11">
        <v>64</v>
      </c>
      <c r="G141" s="18">
        <v>1606</v>
      </c>
      <c r="H141" s="15">
        <v>1262</v>
      </c>
      <c r="I141" s="18">
        <v>2805400</v>
      </c>
      <c r="J141" s="11">
        <v>51947</v>
      </c>
      <c r="K141" s="11">
        <v>41.66</v>
      </c>
      <c r="L141" s="11">
        <v>31381</v>
      </c>
      <c r="M141" s="15">
        <v>62762</v>
      </c>
      <c r="N141" s="18">
        <v>189385</v>
      </c>
      <c r="O141" s="11">
        <v>8210</v>
      </c>
      <c r="P141" s="11">
        <v>10.85</v>
      </c>
      <c r="Q141" s="11">
        <v>6547</v>
      </c>
      <c r="R141" s="15">
        <v>13093</v>
      </c>
      <c r="S141" s="18">
        <v>52861</v>
      </c>
      <c r="T141" s="11">
        <v>435028104</v>
      </c>
      <c r="U141" s="16"/>
      <c r="V141" s="9"/>
      <c r="W141" s="17"/>
    </row>
    <row r="142" spans="1:23" x14ac:dyDescent="0.25">
      <c r="A142" s="9" t="s">
        <v>37</v>
      </c>
      <c r="B142" s="14">
        <v>1066</v>
      </c>
      <c r="C142" s="10">
        <v>457</v>
      </c>
      <c r="D142" s="11">
        <v>109</v>
      </c>
      <c r="E142" s="11">
        <v>799</v>
      </c>
      <c r="F142" s="11">
        <v>60.5</v>
      </c>
      <c r="G142" s="18">
        <v>1510</v>
      </c>
      <c r="H142" s="15">
        <v>1188</v>
      </c>
      <c r="I142" s="18">
        <v>2605609</v>
      </c>
      <c r="J142" s="11">
        <v>48833</v>
      </c>
      <c r="K142" s="11">
        <v>41.66</v>
      </c>
      <c r="L142" s="11">
        <v>29251</v>
      </c>
      <c r="M142" s="15">
        <v>58502</v>
      </c>
      <c r="N142" s="18">
        <v>174817</v>
      </c>
      <c r="O142" s="11">
        <v>7653</v>
      </c>
      <c r="P142" s="11">
        <v>10.77</v>
      </c>
      <c r="Q142" s="11">
        <v>6088</v>
      </c>
      <c r="R142" s="15">
        <v>12176</v>
      </c>
      <c r="S142" s="18">
        <v>44537</v>
      </c>
      <c r="T142" s="11">
        <v>397433082</v>
      </c>
      <c r="U142" s="16"/>
      <c r="V142" s="9"/>
      <c r="W142" s="17"/>
    </row>
    <row r="143" spans="1:23" x14ac:dyDescent="0.25">
      <c r="A143" s="9" t="s">
        <v>37</v>
      </c>
      <c r="B143" s="14">
        <v>1028</v>
      </c>
      <c r="C143" s="10">
        <v>446</v>
      </c>
      <c r="D143" s="11">
        <v>89.9</v>
      </c>
      <c r="E143" s="11">
        <v>799</v>
      </c>
      <c r="F143" s="11">
        <v>50</v>
      </c>
      <c r="G143" s="18">
        <v>1226</v>
      </c>
      <c r="H143" s="15">
        <v>967.3</v>
      </c>
      <c r="I143" s="18">
        <v>2035372</v>
      </c>
      <c r="J143" s="11">
        <v>39657</v>
      </c>
      <c r="K143" s="11">
        <v>40.64</v>
      </c>
      <c r="L143" s="11">
        <v>23270</v>
      </c>
      <c r="M143" s="15">
        <v>46539</v>
      </c>
      <c r="N143" s="18">
        <v>134443</v>
      </c>
      <c r="O143" s="11">
        <v>6014</v>
      </c>
      <c r="P143" s="11">
        <v>10.46</v>
      </c>
      <c r="Q143" s="11">
        <v>4752</v>
      </c>
      <c r="R143" s="15">
        <v>9504</v>
      </c>
      <c r="S143" s="18">
        <v>24974</v>
      </c>
      <c r="T143" s="11">
        <v>292704095</v>
      </c>
      <c r="U143" s="16"/>
      <c r="V143" s="9"/>
      <c r="W143" s="17"/>
    </row>
    <row r="144" spans="1:23" x14ac:dyDescent="0.25">
      <c r="A144" s="9" t="s">
        <v>37</v>
      </c>
      <c r="B144" s="14">
        <v>996</v>
      </c>
      <c r="C144" s="10">
        <v>437</v>
      </c>
      <c r="D144" s="11">
        <v>73.900000000000006</v>
      </c>
      <c r="E144" s="11">
        <v>799</v>
      </c>
      <c r="F144" s="11">
        <v>40.9</v>
      </c>
      <c r="G144" s="18">
        <v>993.5</v>
      </c>
      <c r="H144" s="15">
        <v>784.3</v>
      </c>
      <c r="I144" s="18">
        <v>1594166</v>
      </c>
      <c r="J144" s="11">
        <v>31955</v>
      </c>
      <c r="K144" s="11">
        <v>40.130000000000003</v>
      </c>
      <c r="L144" s="11">
        <v>18599</v>
      </c>
      <c r="M144" s="15">
        <v>37199</v>
      </c>
      <c r="N144" s="18">
        <v>103642</v>
      </c>
      <c r="O144" s="11">
        <v>4736</v>
      </c>
      <c r="P144" s="11">
        <v>10.210000000000001</v>
      </c>
      <c r="Q144" s="11">
        <v>3720</v>
      </c>
      <c r="R144" s="15">
        <v>7440</v>
      </c>
      <c r="S144" s="18">
        <v>13736</v>
      </c>
      <c r="T144" s="11">
        <v>219125267</v>
      </c>
      <c r="U144" s="16"/>
      <c r="V144" s="9"/>
      <c r="W144" s="17"/>
    </row>
    <row r="145" spans="1:23" x14ac:dyDescent="0.25">
      <c r="A145" s="9" t="s">
        <v>37</v>
      </c>
      <c r="B145" s="14">
        <v>972</v>
      </c>
      <c r="C145" s="10">
        <v>431</v>
      </c>
      <c r="D145" s="11">
        <v>62</v>
      </c>
      <c r="E145" s="11">
        <v>799</v>
      </c>
      <c r="F145" s="11">
        <v>34.5</v>
      </c>
      <c r="G145" s="18">
        <v>825.8</v>
      </c>
      <c r="H145" s="15">
        <v>653.29999999999995</v>
      </c>
      <c r="I145" s="18">
        <v>1290317</v>
      </c>
      <c r="J145" s="11">
        <v>26547</v>
      </c>
      <c r="K145" s="11">
        <v>39.619999999999997</v>
      </c>
      <c r="L145" s="11">
        <v>15240</v>
      </c>
      <c r="M145" s="15">
        <v>30480</v>
      </c>
      <c r="N145" s="18">
        <v>82830</v>
      </c>
      <c r="O145" s="11">
        <v>3851</v>
      </c>
      <c r="P145" s="11">
        <v>10.029999999999999</v>
      </c>
      <c r="Q145" s="11">
        <v>3007</v>
      </c>
      <c r="R145" s="15">
        <v>6014</v>
      </c>
      <c r="S145" s="18">
        <v>8117</v>
      </c>
      <c r="T145" s="11">
        <v>171057347</v>
      </c>
      <c r="U145" s="16"/>
      <c r="V145" s="9"/>
      <c r="W145" s="17"/>
    </row>
    <row r="146" spans="1:23" x14ac:dyDescent="0.25">
      <c r="A146" s="9" t="s">
        <v>37</v>
      </c>
      <c r="B146" s="14">
        <v>960</v>
      </c>
      <c r="C146" s="10">
        <v>427</v>
      </c>
      <c r="D146" s="11">
        <v>55.9</v>
      </c>
      <c r="E146" s="11">
        <v>799</v>
      </c>
      <c r="F146" s="11">
        <v>31</v>
      </c>
      <c r="G146" s="18">
        <v>741.9</v>
      </c>
      <c r="H146" s="15">
        <v>584.79999999999995</v>
      </c>
      <c r="I146" s="18">
        <v>1144636</v>
      </c>
      <c r="J146" s="11">
        <v>23761</v>
      </c>
      <c r="K146" s="11">
        <v>39.369999999999997</v>
      </c>
      <c r="L146" s="11">
        <v>13601</v>
      </c>
      <c r="M146" s="15">
        <v>27203</v>
      </c>
      <c r="N146" s="18">
        <v>72840</v>
      </c>
      <c r="O146" s="11">
        <v>3409</v>
      </c>
      <c r="P146" s="11">
        <v>9.91</v>
      </c>
      <c r="Q146" s="11">
        <v>2663</v>
      </c>
      <c r="R146" s="15">
        <v>5326</v>
      </c>
      <c r="S146" s="18">
        <v>5952</v>
      </c>
      <c r="T146" s="11">
        <v>148768870</v>
      </c>
      <c r="U146" s="16"/>
      <c r="V146" s="9"/>
      <c r="W146" s="17"/>
    </row>
    <row r="147" spans="1:23" x14ac:dyDescent="0.25">
      <c r="A147" s="9" t="s">
        <v>37</v>
      </c>
      <c r="B147" s="14">
        <v>950</v>
      </c>
      <c r="C147" s="10">
        <v>425</v>
      </c>
      <c r="D147" s="11">
        <v>51.1</v>
      </c>
      <c r="E147" s="11">
        <v>799</v>
      </c>
      <c r="F147" s="11">
        <v>28.4</v>
      </c>
      <c r="G147" s="18">
        <v>677.4</v>
      </c>
      <c r="H147" s="15">
        <v>534.29999999999995</v>
      </c>
      <c r="I147" s="18">
        <v>1032254</v>
      </c>
      <c r="J147" s="11">
        <v>21631</v>
      </c>
      <c r="K147" s="11">
        <v>39.119999999999997</v>
      </c>
      <c r="L147" s="11">
        <v>12372</v>
      </c>
      <c r="M147" s="15">
        <v>24744</v>
      </c>
      <c r="N147" s="18">
        <v>65348</v>
      </c>
      <c r="O147" s="11">
        <v>3081</v>
      </c>
      <c r="P147" s="11">
        <v>9.83</v>
      </c>
      <c r="Q147" s="11">
        <v>2393</v>
      </c>
      <c r="R147" s="15">
        <v>4785</v>
      </c>
      <c r="S147" s="18">
        <v>4537</v>
      </c>
      <c r="T147" s="11">
        <v>132388182</v>
      </c>
      <c r="U147" s="16"/>
      <c r="V147" s="9"/>
      <c r="W147" s="17"/>
    </row>
    <row r="148" spans="1:23" x14ac:dyDescent="0.25">
      <c r="A148" s="9" t="s">
        <v>37</v>
      </c>
      <c r="B148" s="14">
        <v>942</v>
      </c>
      <c r="C148" s="10">
        <v>422</v>
      </c>
      <c r="D148" s="11">
        <v>47</v>
      </c>
      <c r="E148" s="11">
        <v>799</v>
      </c>
      <c r="F148" s="11">
        <v>25.9</v>
      </c>
      <c r="G148" s="18">
        <v>621.9</v>
      </c>
      <c r="H148" s="15">
        <v>488.1</v>
      </c>
      <c r="I148" s="18">
        <v>936521</v>
      </c>
      <c r="J148" s="11">
        <v>19828</v>
      </c>
      <c r="K148" s="11">
        <v>38.86</v>
      </c>
      <c r="L148" s="11">
        <v>11307</v>
      </c>
      <c r="M148" s="15">
        <v>22614</v>
      </c>
      <c r="N148" s="18">
        <v>59105</v>
      </c>
      <c r="O148" s="11">
        <v>2802</v>
      </c>
      <c r="P148" s="11">
        <v>9.75</v>
      </c>
      <c r="Q148" s="11">
        <v>2171</v>
      </c>
      <c r="R148" s="15">
        <v>4343</v>
      </c>
      <c r="S148" s="18">
        <v>3517</v>
      </c>
      <c r="T148" s="11">
        <v>118424317</v>
      </c>
      <c r="U148" s="16"/>
      <c r="V148" s="9"/>
      <c r="W148" s="17"/>
    </row>
    <row r="149" spans="1:23" x14ac:dyDescent="0.25">
      <c r="A149" s="9" t="s">
        <v>37</v>
      </c>
      <c r="B149" s="14">
        <v>933</v>
      </c>
      <c r="C149" s="10">
        <v>423</v>
      </c>
      <c r="D149" s="11">
        <v>42.7</v>
      </c>
      <c r="E149" s="11">
        <v>799</v>
      </c>
      <c r="F149" s="11">
        <v>24</v>
      </c>
      <c r="G149" s="18">
        <v>569.70000000000005</v>
      </c>
      <c r="H149" s="15">
        <v>446.4</v>
      </c>
      <c r="I149" s="18">
        <v>844950</v>
      </c>
      <c r="J149" s="11">
        <v>18190</v>
      </c>
      <c r="K149" s="11">
        <v>38.61</v>
      </c>
      <c r="L149" s="11">
        <v>10324</v>
      </c>
      <c r="M149" s="15">
        <v>20648</v>
      </c>
      <c r="N149" s="18">
        <v>54110</v>
      </c>
      <c r="O149" s="11">
        <v>2556</v>
      </c>
      <c r="P149" s="11">
        <v>9.73</v>
      </c>
      <c r="Q149" s="11">
        <v>1975</v>
      </c>
      <c r="R149" s="15">
        <v>3949</v>
      </c>
      <c r="S149" s="18">
        <v>2672</v>
      </c>
      <c r="T149" s="11">
        <v>106877275</v>
      </c>
      <c r="U149" s="16"/>
      <c r="V149" s="9"/>
      <c r="W149" s="17"/>
    </row>
    <row r="150" spans="1:23" x14ac:dyDescent="0.25">
      <c r="A150" s="9" t="s">
        <v>37</v>
      </c>
      <c r="B150" s="14">
        <v>928</v>
      </c>
      <c r="C150" s="10">
        <v>422</v>
      </c>
      <c r="D150" s="11">
        <v>39.9</v>
      </c>
      <c r="E150" s="11">
        <v>799</v>
      </c>
      <c r="F150" s="11">
        <v>22.5</v>
      </c>
      <c r="G150" s="18">
        <v>531.6</v>
      </c>
      <c r="H150" s="15">
        <v>416.7</v>
      </c>
      <c r="I150" s="18">
        <v>786677</v>
      </c>
      <c r="J150" s="11">
        <v>16879</v>
      </c>
      <c r="K150" s="11">
        <v>38.35</v>
      </c>
      <c r="L150" s="11">
        <v>9586</v>
      </c>
      <c r="M150" s="15">
        <v>19173</v>
      </c>
      <c r="N150" s="18">
        <v>49948</v>
      </c>
      <c r="O150" s="11">
        <v>2360</v>
      </c>
      <c r="P150" s="11">
        <v>9.68</v>
      </c>
      <c r="Q150" s="11">
        <v>1827</v>
      </c>
      <c r="R150" s="15">
        <v>3654</v>
      </c>
      <c r="S150" s="18">
        <v>2189</v>
      </c>
      <c r="T150" s="11">
        <v>98284127</v>
      </c>
      <c r="U150" s="16"/>
      <c r="V150" s="9"/>
      <c r="W150" s="17"/>
    </row>
    <row r="151" spans="1:23" x14ac:dyDescent="0.25">
      <c r="A151" s="9" t="s">
        <v>37</v>
      </c>
      <c r="B151" s="14">
        <v>921</v>
      </c>
      <c r="C151" s="10">
        <v>420</v>
      </c>
      <c r="D151" s="11">
        <v>36.6</v>
      </c>
      <c r="E151" s="11">
        <v>799</v>
      </c>
      <c r="F151" s="11">
        <v>21.3</v>
      </c>
      <c r="G151" s="18">
        <v>493.5</v>
      </c>
      <c r="H151" s="15">
        <v>386.9</v>
      </c>
      <c r="I151" s="18">
        <v>720080</v>
      </c>
      <c r="J151" s="11">
        <v>15617</v>
      </c>
      <c r="K151" s="11">
        <v>38.1</v>
      </c>
      <c r="L151" s="11">
        <v>8849</v>
      </c>
      <c r="M151" s="15">
        <v>17698</v>
      </c>
      <c r="N151" s="18">
        <v>45369</v>
      </c>
      <c r="O151" s="11">
        <v>2163</v>
      </c>
      <c r="P151" s="11">
        <v>9.6</v>
      </c>
      <c r="Q151" s="11">
        <v>1671</v>
      </c>
      <c r="R151" s="15">
        <v>3343</v>
      </c>
      <c r="S151" s="18">
        <v>1727</v>
      </c>
      <c r="T151" s="11">
        <v>88616836</v>
      </c>
      <c r="U151" s="16"/>
      <c r="V151" s="9"/>
      <c r="W151" s="17"/>
    </row>
    <row r="152" spans="1:23" x14ac:dyDescent="0.25">
      <c r="A152" s="9" t="s">
        <v>37</v>
      </c>
      <c r="B152" s="14">
        <v>916</v>
      </c>
      <c r="C152" s="10">
        <v>419</v>
      </c>
      <c r="D152" s="11">
        <v>34.299999999999997</v>
      </c>
      <c r="E152" s="11">
        <v>799</v>
      </c>
      <c r="F152" s="11">
        <v>20.3</v>
      </c>
      <c r="G152" s="18">
        <v>465.2</v>
      </c>
      <c r="H152" s="15">
        <v>364.6</v>
      </c>
      <c r="I152" s="18">
        <v>670133</v>
      </c>
      <c r="J152" s="11">
        <v>14666</v>
      </c>
      <c r="K152" s="11">
        <v>38.1</v>
      </c>
      <c r="L152" s="11">
        <v>8275</v>
      </c>
      <c r="M152" s="15">
        <v>16551</v>
      </c>
      <c r="N152" s="18">
        <v>42039</v>
      </c>
      <c r="O152" s="11">
        <v>2016</v>
      </c>
      <c r="P152" s="11">
        <v>9.5299999999999994</v>
      </c>
      <c r="Q152" s="11">
        <v>1557</v>
      </c>
      <c r="R152" s="15">
        <v>3114</v>
      </c>
      <c r="S152" s="18">
        <v>1440</v>
      </c>
      <c r="T152" s="11">
        <v>82171975</v>
      </c>
      <c r="U152" s="16"/>
      <c r="V152" s="9"/>
      <c r="W152" s="17"/>
    </row>
    <row r="153" spans="1:23" x14ac:dyDescent="0.25">
      <c r="A153" s="9" t="s">
        <v>37</v>
      </c>
      <c r="B153" s="14">
        <v>912</v>
      </c>
      <c r="C153" s="10">
        <v>418</v>
      </c>
      <c r="D153" s="11">
        <v>32</v>
      </c>
      <c r="E153" s="11">
        <v>799</v>
      </c>
      <c r="F153" s="11">
        <v>19.3</v>
      </c>
      <c r="G153" s="18">
        <v>436.1</v>
      </c>
      <c r="H153" s="15">
        <v>342.3</v>
      </c>
      <c r="I153" s="18">
        <v>624347</v>
      </c>
      <c r="J153" s="11">
        <v>13716</v>
      </c>
      <c r="K153" s="11">
        <v>37.85</v>
      </c>
      <c r="L153" s="11">
        <v>7727</v>
      </c>
      <c r="M153" s="15">
        <v>15453</v>
      </c>
      <c r="N153" s="18">
        <v>39126</v>
      </c>
      <c r="O153" s="11">
        <v>1868</v>
      </c>
      <c r="P153" s="11">
        <v>9.4700000000000006</v>
      </c>
      <c r="Q153" s="11">
        <v>1442</v>
      </c>
      <c r="R153" s="15">
        <v>2884</v>
      </c>
      <c r="S153" s="18">
        <v>1190</v>
      </c>
      <c r="T153" s="11">
        <v>75727114</v>
      </c>
      <c r="U153" s="16"/>
      <c r="V153" s="9"/>
      <c r="W153" s="17"/>
    </row>
    <row r="154" spans="1:23" x14ac:dyDescent="0.25">
      <c r="A154" s="9" t="s">
        <v>37</v>
      </c>
      <c r="B154" s="14">
        <v>951</v>
      </c>
      <c r="C154" s="10">
        <v>310</v>
      </c>
      <c r="D154" s="11">
        <v>43.9</v>
      </c>
      <c r="E154" s="11">
        <v>816</v>
      </c>
      <c r="F154" s="11">
        <v>24.4</v>
      </c>
      <c r="G154" s="18">
        <v>486.5</v>
      </c>
      <c r="H154" s="15">
        <v>381</v>
      </c>
      <c r="I154" s="18">
        <v>699269</v>
      </c>
      <c r="J154" s="11">
        <v>14666</v>
      </c>
      <c r="K154" s="11">
        <v>37.85</v>
      </c>
      <c r="L154" s="11">
        <v>8521</v>
      </c>
      <c r="M154" s="15">
        <v>17043</v>
      </c>
      <c r="N154" s="18">
        <v>21977</v>
      </c>
      <c r="O154" s="11">
        <v>1417</v>
      </c>
      <c r="P154" s="11">
        <v>6.73</v>
      </c>
      <c r="Q154" s="11">
        <v>1123</v>
      </c>
      <c r="R154" s="15">
        <v>2245</v>
      </c>
      <c r="S154" s="18">
        <v>2219</v>
      </c>
      <c r="T154" s="11">
        <v>45114026</v>
      </c>
      <c r="U154" s="16"/>
      <c r="V154" s="9"/>
      <c r="W154" s="17"/>
    </row>
    <row r="155" spans="1:23" x14ac:dyDescent="0.25">
      <c r="A155" s="9" t="s">
        <v>37</v>
      </c>
      <c r="B155" s="14">
        <v>943</v>
      </c>
      <c r="C155" s="10">
        <v>308</v>
      </c>
      <c r="D155" s="11">
        <v>39.9</v>
      </c>
      <c r="E155" s="11">
        <v>816</v>
      </c>
      <c r="F155" s="11">
        <v>22.1</v>
      </c>
      <c r="G155" s="18">
        <v>439.4</v>
      </c>
      <c r="H155" s="15">
        <v>345.3</v>
      </c>
      <c r="I155" s="18">
        <v>624347</v>
      </c>
      <c r="J155" s="11">
        <v>13257</v>
      </c>
      <c r="K155" s="11">
        <v>37.590000000000003</v>
      </c>
      <c r="L155" s="11">
        <v>7669</v>
      </c>
      <c r="M155" s="15">
        <v>15338</v>
      </c>
      <c r="N155" s="18">
        <v>19480</v>
      </c>
      <c r="O155" s="11">
        <v>1265</v>
      </c>
      <c r="P155" s="11">
        <v>6.65</v>
      </c>
      <c r="Q155" s="11">
        <v>1000</v>
      </c>
      <c r="R155" s="15">
        <v>1999</v>
      </c>
      <c r="S155" s="18">
        <v>1657</v>
      </c>
      <c r="T155" s="11">
        <v>39743308</v>
      </c>
      <c r="U155" s="16"/>
      <c r="V155" s="9"/>
      <c r="W155" s="17"/>
    </row>
    <row r="156" spans="1:23" x14ac:dyDescent="0.25">
      <c r="A156" s="9" t="s">
        <v>37</v>
      </c>
      <c r="B156" s="14">
        <v>932</v>
      </c>
      <c r="C156" s="10">
        <v>309</v>
      </c>
      <c r="D156" s="11">
        <v>34.5</v>
      </c>
      <c r="E156" s="11">
        <v>816</v>
      </c>
      <c r="F156" s="11">
        <v>21.1</v>
      </c>
      <c r="G156" s="18">
        <v>398.7</v>
      </c>
      <c r="H156" s="15">
        <v>312.5</v>
      </c>
      <c r="I156" s="18">
        <v>549425</v>
      </c>
      <c r="J156" s="11">
        <v>11782</v>
      </c>
      <c r="K156" s="11">
        <v>37.08</v>
      </c>
      <c r="L156" s="11">
        <v>6825</v>
      </c>
      <c r="M156" s="15">
        <v>13650</v>
      </c>
      <c r="N156" s="18">
        <v>17107</v>
      </c>
      <c r="O156" s="11">
        <v>1106</v>
      </c>
      <c r="P156" s="11">
        <v>6.55</v>
      </c>
      <c r="Q156" s="11">
        <v>877</v>
      </c>
      <c r="R156" s="15">
        <v>1753</v>
      </c>
      <c r="S156" s="18">
        <v>1165</v>
      </c>
      <c r="T156" s="11">
        <v>34372591</v>
      </c>
      <c r="U156" s="16"/>
      <c r="V156" s="9"/>
      <c r="W156" s="17"/>
    </row>
    <row r="157" spans="1:23" x14ac:dyDescent="0.25">
      <c r="A157" s="9" t="s">
        <v>37</v>
      </c>
      <c r="B157" s="14">
        <v>927</v>
      </c>
      <c r="C157" s="10">
        <v>308</v>
      </c>
      <c r="D157" s="11">
        <v>32</v>
      </c>
      <c r="E157" s="11">
        <v>816</v>
      </c>
      <c r="F157" s="11">
        <v>19.399999999999999</v>
      </c>
      <c r="G157" s="18">
        <v>367.7</v>
      </c>
      <c r="H157" s="15">
        <v>288.7</v>
      </c>
      <c r="I157" s="18">
        <v>503640</v>
      </c>
      <c r="J157" s="11">
        <v>10881</v>
      </c>
      <c r="K157" s="11">
        <v>37.08</v>
      </c>
      <c r="L157" s="11">
        <v>6284</v>
      </c>
      <c r="M157" s="15">
        <v>12569</v>
      </c>
      <c r="N157" s="18">
        <v>15609</v>
      </c>
      <c r="O157" s="11">
        <v>1014</v>
      </c>
      <c r="P157" s="11">
        <v>6.5</v>
      </c>
      <c r="Q157" s="11">
        <v>801</v>
      </c>
      <c r="R157" s="15">
        <v>1601</v>
      </c>
      <c r="S157" s="18">
        <v>924</v>
      </c>
      <c r="T157" s="11">
        <v>31150161</v>
      </c>
      <c r="U157" s="16"/>
      <c r="V157" s="9"/>
      <c r="W157" s="17"/>
    </row>
    <row r="158" spans="1:23" x14ac:dyDescent="0.25">
      <c r="A158" s="9" t="s">
        <v>37</v>
      </c>
      <c r="B158" s="14">
        <v>923</v>
      </c>
      <c r="C158" s="10">
        <v>307</v>
      </c>
      <c r="D158" s="11">
        <v>30</v>
      </c>
      <c r="E158" s="11">
        <v>816</v>
      </c>
      <c r="F158" s="11">
        <v>18.399999999999999</v>
      </c>
      <c r="G158" s="18">
        <v>345.8</v>
      </c>
      <c r="H158" s="15">
        <v>270.8</v>
      </c>
      <c r="I158" s="18">
        <v>470342</v>
      </c>
      <c r="J158" s="11">
        <v>10209</v>
      </c>
      <c r="K158" s="11">
        <v>36.83</v>
      </c>
      <c r="L158" s="11">
        <v>5883</v>
      </c>
      <c r="M158" s="15">
        <v>11766</v>
      </c>
      <c r="N158" s="18">
        <v>14443</v>
      </c>
      <c r="O158" s="11">
        <v>944</v>
      </c>
      <c r="P158" s="11">
        <v>6.48</v>
      </c>
      <c r="Q158" s="11">
        <v>743</v>
      </c>
      <c r="R158" s="15">
        <v>1486</v>
      </c>
      <c r="S158" s="18">
        <v>766</v>
      </c>
      <c r="T158" s="11">
        <v>28733338</v>
      </c>
      <c r="U158" s="16"/>
      <c r="V158" s="9"/>
      <c r="W158" s="17"/>
    </row>
    <row r="159" spans="1:23" x14ac:dyDescent="0.25">
      <c r="A159" s="9" t="s">
        <v>37</v>
      </c>
      <c r="B159" s="14">
        <v>919</v>
      </c>
      <c r="C159" s="10">
        <v>306</v>
      </c>
      <c r="D159" s="11">
        <v>27.9</v>
      </c>
      <c r="E159" s="11">
        <v>816</v>
      </c>
      <c r="F159" s="11">
        <v>17.3</v>
      </c>
      <c r="G159" s="18">
        <v>322.60000000000002</v>
      </c>
      <c r="H159" s="15">
        <v>253</v>
      </c>
      <c r="I159" s="18">
        <v>437043</v>
      </c>
      <c r="J159" s="11">
        <v>9504</v>
      </c>
      <c r="K159" s="11">
        <v>36.83</v>
      </c>
      <c r="L159" s="11">
        <v>5473</v>
      </c>
      <c r="M159" s="15">
        <v>10947</v>
      </c>
      <c r="N159" s="18">
        <v>13319</v>
      </c>
      <c r="O159" s="11">
        <v>872</v>
      </c>
      <c r="P159" s="11">
        <v>6.43</v>
      </c>
      <c r="Q159" s="11">
        <v>687</v>
      </c>
      <c r="R159" s="15">
        <v>1373</v>
      </c>
      <c r="S159" s="18">
        <v>629</v>
      </c>
      <c r="T159" s="11">
        <v>26450783</v>
      </c>
      <c r="U159" s="16"/>
      <c r="V159" s="9"/>
      <c r="W159" s="17"/>
    </row>
    <row r="160" spans="1:23" x14ac:dyDescent="0.25">
      <c r="A160" s="9" t="s">
        <v>37</v>
      </c>
      <c r="B160" s="14">
        <v>911</v>
      </c>
      <c r="C160" s="10">
        <v>304</v>
      </c>
      <c r="D160" s="11">
        <v>23.9</v>
      </c>
      <c r="E160" s="11">
        <v>816</v>
      </c>
      <c r="F160" s="11">
        <v>15.9</v>
      </c>
      <c r="G160" s="18">
        <v>285.2</v>
      </c>
      <c r="H160" s="15">
        <v>223.2</v>
      </c>
      <c r="I160" s="18">
        <v>376273</v>
      </c>
      <c r="J160" s="11">
        <v>8259</v>
      </c>
      <c r="K160" s="11">
        <v>36.32</v>
      </c>
      <c r="L160" s="11">
        <v>4760</v>
      </c>
      <c r="M160" s="15">
        <v>9521</v>
      </c>
      <c r="N160" s="18">
        <v>11238</v>
      </c>
      <c r="O160" s="11">
        <v>739</v>
      </c>
      <c r="P160" s="11">
        <v>6.27</v>
      </c>
      <c r="Q160" s="11">
        <v>581</v>
      </c>
      <c r="R160" s="15">
        <v>1162</v>
      </c>
      <c r="S160" s="18">
        <v>420</v>
      </c>
      <c r="T160" s="11">
        <v>22073648</v>
      </c>
      <c r="U160" s="16"/>
      <c r="V160" s="9"/>
      <c r="W160" s="17"/>
    </row>
    <row r="161" spans="1:23" x14ac:dyDescent="0.25">
      <c r="A161" s="9" t="s">
        <v>37</v>
      </c>
      <c r="B161" s="14">
        <v>903</v>
      </c>
      <c r="C161" s="10">
        <v>304</v>
      </c>
      <c r="D161" s="11">
        <v>20.100000000000001</v>
      </c>
      <c r="E161" s="11">
        <v>816</v>
      </c>
      <c r="F161" s="11">
        <v>15.2</v>
      </c>
      <c r="G161" s="18">
        <v>256.10000000000002</v>
      </c>
      <c r="H161" s="15">
        <v>200.9</v>
      </c>
      <c r="I161" s="18">
        <v>324661</v>
      </c>
      <c r="J161" s="11">
        <v>7194</v>
      </c>
      <c r="K161" s="11">
        <v>35.56</v>
      </c>
      <c r="L161" s="11">
        <v>4171</v>
      </c>
      <c r="M161" s="15">
        <v>8341</v>
      </c>
      <c r="N161" s="18">
        <v>9365</v>
      </c>
      <c r="O161" s="11">
        <v>618</v>
      </c>
      <c r="P161" s="11">
        <v>6.05</v>
      </c>
      <c r="Q161" s="11">
        <v>489</v>
      </c>
      <c r="R161" s="15">
        <v>978</v>
      </c>
      <c r="S161" s="18">
        <v>291</v>
      </c>
      <c r="T161" s="11">
        <v>18287293</v>
      </c>
      <c r="U161" s="16"/>
      <c r="V161" s="9"/>
      <c r="W161" s="17"/>
    </row>
    <row r="162" spans="1:23" x14ac:dyDescent="0.25">
      <c r="A162" s="9" t="s">
        <v>37</v>
      </c>
      <c r="B162" s="14">
        <v>903</v>
      </c>
      <c r="C162" s="10">
        <v>409</v>
      </c>
      <c r="D162" s="11">
        <v>53.1</v>
      </c>
      <c r="E162" s="11">
        <v>756</v>
      </c>
      <c r="F162" s="11">
        <v>29.5</v>
      </c>
      <c r="G162" s="18">
        <v>671</v>
      </c>
      <c r="H162" s="15">
        <v>526.79999999999995</v>
      </c>
      <c r="I162" s="18">
        <v>911547</v>
      </c>
      <c r="J162" s="11">
        <v>20156</v>
      </c>
      <c r="K162" s="11">
        <v>36.83</v>
      </c>
      <c r="L162" s="11">
        <v>11635</v>
      </c>
      <c r="M162" s="15">
        <v>23270</v>
      </c>
      <c r="N162" s="18">
        <v>60770</v>
      </c>
      <c r="O162" s="11">
        <v>2966</v>
      </c>
      <c r="P162" s="11">
        <v>9.5</v>
      </c>
      <c r="Q162" s="11">
        <v>2311</v>
      </c>
      <c r="R162" s="15">
        <v>4621</v>
      </c>
      <c r="S162" s="18">
        <v>4787</v>
      </c>
      <c r="T162" s="11">
        <v>109562634</v>
      </c>
      <c r="U162" s="16"/>
      <c r="V162" s="9"/>
      <c r="W162" s="17"/>
    </row>
    <row r="163" spans="1:23" x14ac:dyDescent="0.25">
      <c r="A163" s="9" t="s">
        <v>37</v>
      </c>
      <c r="B163" s="14">
        <v>893</v>
      </c>
      <c r="C163" s="10">
        <v>406</v>
      </c>
      <c r="D163" s="11">
        <v>48</v>
      </c>
      <c r="E163" s="11">
        <v>756</v>
      </c>
      <c r="F163" s="11">
        <v>26.4</v>
      </c>
      <c r="G163" s="18">
        <v>603.20000000000005</v>
      </c>
      <c r="H163" s="15">
        <v>473.2</v>
      </c>
      <c r="I163" s="18">
        <v>811651</v>
      </c>
      <c r="J163" s="11">
        <v>18190</v>
      </c>
      <c r="K163" s="11">
        <v>36.58</v>
      </c>
      <c r="L163" s="11">
        <v>10406</v>
      </c>
      <c r="M163" s="15">
        <v>20812</v>
      </c>
      <c r="N163" s="18">
        <v>53694</v>
      </c>
      <c r="O163" s="11">
        <v>2638</v>
      </c>
      <c r="P163" s="11">
        <v>9.42</v>
      </c>
      <c r="Q163" s="11">
        <v>2048</v>
      </c>
      <c r="R163" s="15">
        <v>4097</v>
      </c>
      <c r="S163" s="18">
        <v>3513</v>
      </c>
      <c r="T163" s="11">
        <v>95867304</v>
      </c>
      <c r="U163" s="16"/>
      <c r="V163" s="9"/>
      <c r="W163" s="17"/>
    </row>
    <row r="164" spans="1:23" x14ac:dyDescent="0.25">
      <c r="A164" s="9" t="s">
        <v>37</v>
      </c>
      <c r="B164" s="14">
        <v>885</v>
      </c>
      <c r="C164" s="10">
        <v>404</v>
      </c>
      <c r="D164" s="11">
        <v>43.9</v>
      </c>
      <c r="E164" s="11">
        <v>756</v>
      </c>
      <c r="F164" s="11">
        <v>24.4</v>
      </c>
      <c r="G164" s="18">
        <v>552.29999999999995</v>
      </c>
      <c r="H164" s="15">
        <v>433.1</v>
      </c>
      <c r="I164" s="18">
        <v>736730</v>
      </c>
      <c r="J164" s="11">
        <v>16551</v>
      </c>
      <c r="K164" s="11">
        <v>36.58</v>
      </c>
      <c r="L164" s="11">
        <v>9423</v>
      </c>
      <c r="M164" s="15">
        <v>18845</v>
      </c>
      <c r="N164" s="18">
        <v>48283</v>
      </c>
      <c r="O164" s="11">
        <v>2393</v>
      </c>
      <c r="P164" s="11">
        <v>9.3699999999999992</v>
      </c>
      <c r="Q164" s="11">
        <v>1852</v>
      </c>
      <c r="R164" s="15">
        <v>3703</v>
      </c>
      <c r="S164" s="18">
        <v>2706</v>
      </c>
      <c r="T164" s="11">
        <v>85662941</v>
      </c>
      <c r="U164" s="16"/>
      <c r="V164" s="9"/>
      <c r="W164" s="17"/>
    </row>
    <row r="165" spans="1:23" x14ac:dyDescent="0.25">
      <c r="A165" s="9" t="s">
        <v>37</v>
      </c>
      <c r="B165" s="14">
        <v>877</v>
      </c>
      <c r="C165" s="10">
        <v>401</v>
      </c>
      <c r="D165" s="11">
        <v>39.9</v>
      </c>
      <c r="E165" s="11">
        <v>756</v>
      </c>
      <c r="F165" s="11">
        <v>22.1</v>
      </c>
      <c r="G165" s="18">
        <v>499.4</v>
      </c>
      <c r="H165" s="15">
        <v>391.4</v>
      </c>
      <c r="I165" s="18">
        <v>657646</v>
      </c>
      <c r="J165" s="11">
        <v>15027</v>
      </c>
      <c r="K165" s="11">
        <v>36.32</v>
      </c>
      <c r="L165" s="11">
        <v>8521</v>
      </c>
      <c r="M165" s="15">
        <v>17043</v>
      </c>
      <c r="N165" s="18">
        <v>42872</v>
      </c>
      <c r="O165" s="11">
        <v>2147</v>
      </c>
      <c r="P165" s="11">
        <v>9.3000000000000007</v>
      </c>
      <c r="Q165" s="11">
        <v>1655</v>
      </c>
      <c r="R165" s="15">
        <v>3310</v>
      </c>
      <c r="S165" s="18">
        <v>2019</v>
      </c>
      <c r="T165" s="11">
        <v>75458578</v>
      </c>
      <c r="U165" s="16"/>
      <c r="V165" s="9"/>
      <c r="W165" s="17"/>
    </row>
    <row r="166" spans="1:23" x14ac:dyDescent="0.25">
      <c r="A166" s="9" t="s">
        <v>37</v>
      </c>
      <c r="B166" s="14">
        <v>868</v>
      </c>
      <c r="C166" s="10">
        <v>403</v>
      </c>
      <c r="D166" s="11">
        <v>35.6</v>
      </c>
      <c r="E166" s="11">
        <v>756</v>
      </c>
      <c r="F166" s="11">
        <v>21.1</v>
      </c>
      <c r="G166" s="18">
        <v>457.4</v>
      </c>
      <c r="H166" s="15">
        <v>358.6</v>
      </c>
      <c r="I166" s="18">
        <v>591049</v>
      </c>
      <c r="J166" s="11">
        <v>13585</v>
      </c>
      <c r="K166" s="11">
        <v>35.81</v>
      </c>
      <c r="L166" s="11">
        <v>7694</v>
      </c>
      <c r="M166" s="15">
        <v>15387</v>
      </c>
      <c r="N166" s="18">
        <v>38793</v>
      </c>
      <c r="O166" s="11">
        <v>1934</v>
      </c>
      <c r="P166" s="11">
        <v>9.2200000000000006</v>
      </c>
      <c r="Q166" s="11">
        <v>1491</v>
      </c>
      <c r="R166" s="15">
        <v>2982</v>
      </c>
      <c r="S166" s="18">
        <v>1490</v>
      </c>
      <c r="T166" s="11">
        <v>67133967</v>
      </c>
      <c r="U166" s="16"/>
      <c r="V166" s="9"/>
      <c r="W166" s="17"/>
    </row>
    <row r="167" spans="1:23" x14ac:dyDescent="0.25">
      <c r="A167" s="9" t="s">
        <v>37</v>
      </c>
      <c r="B167" s="14">
        <v>862</v>
      </c>
      <c r="C167" s="10">
        <v>401</v>
      </c>
      <c r="D167" s="11">
        <v>32.4</v>
      </c>
      <c r="E167" s="11">
        <v>756</v>
      </c>
      <c r="F167" s="11">
        <v>19.7</v>
      </c>
      <c r="G167" s="18">
        <v>419.4</v>
      </c>
      <c r="H167" s="15">
        <v>328.9</v>
      </c>
      <c r="I167" s="18">
        <v>532776</v>
      </c>
      <c r="J167" s="11">
        <v>12405</v>
      </c>
      <c r="K167" s="11">
        <v>35.81</v>
      </c>
      <c r="L167" s="11">
        <v>7005</v>
      </c>
      <c r="M167" s="15">
        <v>14011</v>
      </c>
      <c r="N167" s="18">
        <v>34963</v>
      </c>
      <c r="O167" s="11">
        <v>1737</v>
      </c>
      <c r="P167" s="11">
        <v>9.1199999999999992</v>
      </c>
      <c r="Q167" s="11">
        <v>1344</v>
      </c>
      <c r="R167" s="15">
        <v>2687</v>
      </c>
      <c r="S167" s="18">
        <v>1145</v>
      </c>
      <c r="T167" s="11">
        <v>60152034</v>
      </c>
      <c r="U167" s="16"/>
      <c r="V167" s="9"/>
      <c r="W167" s="17"/>
    </row>
    <row r="168" spans="1:23" x14ac:dyDescent="0.25">
      <c r="A168" s="9" t="s">
        <v>37</v>
      </c>
      <c r="B168" s="14">
        <v>855</v>
      </c>
      <c r="C168" s="10">
        <v>400</v>
      </c>
      <c r="D168" s="11">
        <v>29.2</v>
      </c>
      <c r="E168" s="11">
        <v>756</v>
      </c>
      <c r="F168" s="11">
        <v>18.2</v>
      </c>
      <c r="G168" s="18">
        <v>381.3</v>
      </c>
      <c r="H168" s="15">
        <v>299.10000000000002</v>
      </c>
      <c r="I168" s="18">
        <v>478666</v>
      </c>
      <c r="J168" s="11">
        <v>11209</v>
      </c>
      <c r="K168" s="11">
        <v>35.56</v>
      </c>
      <c r="L168" s="11">
        <v>6325</v>
      </c>
      <c r="M168" s="15">
        <v>12651</v>
      </c>
      <c r="N168" s="18">
        <v>31176</v>
      </c>
      <c r="O168" s="11">
        <v>1560</v>
      </c>
      <c r="P168" s="11">
        <v>9.0399999999999991</v>
      </c>
      <c r="Q168" s="11">
        <v>1204</v>
      </c>
      <c r="R168" s="15">
        <v>2409</v>
      </c>
      <c r="S168" s="18">
        <v>853</v>
      </c>
      <c r="T168" s="11">
        <v>53170102</v>
      </c>
      <c r="U168" s="16"/>
      <c r="V168" s="9"/>
      <c r="W168" s="17"/>
    </row>
    <row r="169" spans="1:23" x14ac:dyDescent="0.25">
      <c r="A169" s="9" t="s">
        <v>37</v>
      </c>
      <c r="B169" s="14">
        <v>859</v>
      </c>
      <c r="C169" s="10">
        <v>292</v>
      </c>
      <c r="D169" s="11">
        <v>31</v>
      </c>
      <c r="E169" s="11">
        <v>756</v>
      </c>
      <c r="F169" s="11">
        <v>17</v>
      </c>
      <c r="G169" s="18">
        <v>319.39999999999998</v>
      </c>
      <c r="H169" s="15">
        <v>251.5</v>
      </c>
      <c r="I169" s="18">
        <v>386679</v>
      </c>
      <c r="J169" s="11">
        <v>8996</v>
      </c>
      <c r="K169" s="11">
        <v>34.799999999999997</v>
      </c>
      <c r="L169" s="11">
        <v>5154</v>
      </c>
      <c r="M169" s="15">
        <v>10307</v>
      </c>
      <c r="N169" s="18">
        <v>12903</v>
      </c>
      <c r="O169" s="11">
        <v>883</v>
      </c>
      <c r="P169" s="11">
        <v>6.35</v>
      </c>
      <c r="Q169" s="11">
        <v>692</v>
      </c>
      <c r="R169" s="15">
        <v>1383</v>
      </c>
      <c r="S169" s="18">
        <v>737</v>
      </c>
      <c r="T169" s="11">
        <v>22127355</v>
      </c>
      <c r="U169" s="16"/>
      <c r="V169" s="9"/>
      <c r="W169" s="17"/>
    </row>
    <row r="170" spans="1:23" x14ac:dyDescent="0.25">
      <c r="A170" s="9" t="s">
        <v>37</v>
      </c>
      <c r="B170" s="14">
        <v>851</v>
      </c>
      <c r="C170" s="10">
        <v>294</v>
      </c>
      <c r="D170" s="11">
        <v>26.8</v>
      </c>
      <c r="E170" s="11">
        <v>756</v>
      </c>
      <c r="F170" s="11">
        <v>16.100000000000001</v>
      </c>
      <c r="G170" s="18">
        <v>288.39999999999998</v>
      </c>
      <c r="H170" s="15">
        <v>226.2</v>
      </c>
      <c r="I170" s="18">
        <v>339645</v>
      </c>
      <c r="J170" s="11">
        <v>7981</v>
      </c>
      <c r="K170" s="11">
        <v>34.29</v>
      </c>
      <c r="L170" s="11">
        <v>4580</v>
      </c>
      <c r="M170" s="15">
        <v>9160</v>
      </c>
      <c r="N170" s="18">
        <v>11363</v>
      </c>
      <c r="O170" s="11">
        <v>773</v>
      </c>
      <c r="P170" s="11">
        <v>6.27</v>
      </c>
      <c r="Q170" s="11">
        <v>606</v>
      </c>
      <c r="R170" s="15">
        <v>1211</v>
      </c>
      <c r="S170" s="18">
        <v>516</v>
      </c>
      <c r="T170" s="11">
        <v>19254022</v>
      </c>
      <c r="U170" s="16"/>
      <c r="V170" s="9"/>
      <c r="W170" s="17"/>
    </row>
    <row r="171" spans="1:23" x14ac:dyDescent="0.25">
      <c r="A171" s="9" t="s">
        <v>37</v>
      </c>
      <c r="B171" s="14">
        <v>846</v>
      </c>
      <c r="C171" s="10">
        <v>293</v>
      </c>
      <c r="D171" s="11">
        <v>24.4</v>
      </c>
      <c r="E171" s="11">
        <v>756</v>
      </c>
      <c r="F171" s="11">
        <v>15.4</v>
      </c>
      <c r="G171" s="18">
        <v>268.39999999999998</v>
      </c>
      <c r="H171" s="15">
        <v>209.8</v>
      </c>
      <c r="I171" s="18">
        <v>310092</v>
      </c>
      <c r="J171" s="11">
        <v>7341</v>
      </c>
      <c r="K171" s="11">
        <v>34.04</v>
      </c>
      <c r="L171" s="11">
        <v>4211</v>
      </c>
      <c r="M171" s="15">
        <v>8423</v>
      </c>
      <c r="N171" s="18">
        <v>10239</v>
      </c>
      <c r="O171" s="11">
        <v>700</v>
      </c>
      <c r="P171" s="11">
        <v>6.17</v>
      </c>
      <c r="Q171" s="11">
        <v>548</v>
      </c>
      <c r="R171" s="15">
        <v>1096</v>
      </c>
      <c r="S171" s="18">
        <v>404</v>
      </c>
      <c r="T171" s="11">
        <v>17293710</v>
      </c>
      <c r="U171" s="16"/>
      <c r="V171" s="9"/>
      <c r="W171" s="17"/>
    </row>
    <row r="172" spans="1:23" x14ac:dyDescent="0.25">
      <c r="A172" s="9" t="s">
        <v>37</v>
      </c>
      <c r="B172" s="14">
        <v>840</v>
      </c>
      <c r="C172" s="10">
        <v>292</v>
      </c>
      <c r="D172" s="11">
        <v>21.7</v>
      </c>
      <c r="E172" s="11">
        <v>756</v>
      </c>
      <c r="F172" s="11">
        <v>14.7</v>
      </c>
      <c r="G172" s="18">
        <v>247.1</v>
      </c>
      <c r="H172" s="15">
        <v>193.5</v>
      </c>
      <c r="I172" s="18">
        <v>279291</v>
      </c>
      <c r="J172" s="11">
        <v>6653</v>
      </c>
      <c r="K172" s="11">
        <v>33.53</v>
      </c>
      <c r="L172" s="11">
        <v>3826</v>
      </c>
      <c r="M172" s="15">
        <v>7653</v>
      </c>
      <c r="N172" s="18">
        <v>9074</v>
      </c>
      <c r="O172" s="11">
        <v>621</v>
      </c>
      <c r="P172" s="11">
        <v>6.07</v>
      </c>
      <c r="Q172" s="11">
        <v>488</v>
      </c>
      <c r="R172" s="15">
        <v>975</v>
      </c>
      <c r="S172" s="18">
        <v>307</v>
      </c>
      <c r="T172" s="11">
        <v>15199130</v>
      </c>
      <c r="U172" s="16"/>
      <c r="V172" s="9"/>
      <c r="W172" s="17"/>
    </row>
    <row r="173" spans="1:23" x14ac:dyDescent="0.25">
      <c r="A173" s="9" t="s">
        <v>37</v>
      </c>
      <c r="B173" s="14">
        <v>835</v>
      </c>
      <c r="C173" s="10">
        <v>292</v>
      </c>
      <c r="D173" s="11">
        <v>18.8</v>
      </c>
      <c r="E173" s="11">
        <v>756</v>
      </c>
      <c r="F173" s="11">
        <v>14</v>
      </c>
      <c r="G173" s="18">
        <v>223.9</v>
      </c>
      <c r="H173" s="15">
        <v>175.6</v>
      </c>
      <c r="I173" s="18">
        <v>245577</v>
      </c>
      <c r="J173" s="11">
        <v>5883</v>
      </c>
      <c r="K173" s="11">
        <v>33.020000000000003</v>
      </c>
      <c r="L173" s="11">
        <v>3400</v>
      </c>
      <c r="M173" s="15">
        <v>6801</v>
      </c>
      <c r="N173" s="18">
        <v>7784</v>
      </c>
      <c r="O173" s="11">
        <v>534</v>
      </c>
      <c r="P173" s="11">
        <v>5.89</v>
      </c>
      <c r="Q173" s="11">
        <v>420</v>
      </c>
      <c r="R173" s="15">
        <v>841</v>
      </c>
      <c r="S173" s="18">
        <v>221</v>
      </c>
      <c r="T173" s="11">
        <v>12970282</v>
      </c>
      <c r="U173" s="16"/>
      <c r="V173" s="9"/>
      <c r="W173" s="17"/>
    </row>
    <row r="174" spans="1:23" x14ac:dyDescent="0.25">
      <c r="A174" s="9" t="s">
        <v>37</v>
      </c>
      <c r="B174" s="14">
        <v>869</v>
      </c>
      <c r="C174" s="10">
        <v>403</v>
      </c>
      <c r="D174" s="11">
        <v>74.900000000000006</v>
      </c>
      <c r="E174" s="11">
        <v>679</v>
      </c>
      <c r="F174" s="11">
        <v>41.4</v>
      </c>
      <c r="G174" s="18">
        <v>903.2</v>
      </c>
      <c r="H174" s="15">
        <v>709.9</v>
      </c>
      <c r="I174" s="18">
        <v>1086364</v>
      </c>
      <c r="J174" s="11">
        <v>25072</v>
      </c>
      <c r="K174" s="11">
        <v>34.799999999999997</v>
      </c>
      <c r="L174" s="11">
        <v>14666</v>
      </c>
      <c r="M174" s="15">
        <v>29333</v>
      </c>
      <c r="N174" s="18">
        <v>81998</v>
      </c>
      <c r="O174" s="11">
        <v>4080</v>
      </c>
      <c r="P174" s="11">
        <v>9.5299999999999994</v>
      </c>
      <c r="Q174" s="11">
        <v>3195</v>
      </c>
      <c r="R174" s="15">
        <v>6391</v>
      </c>
      <c r="S174" s="18">
        <v>12778</v>
      </c>
      <c r="T174" s="11">
        <v>128897216</v>
      </c>
      <c r="U174" s="16"/>
      <c r="V174" s="9"/>
      <c r="W174" s="17"/>
    </row>
    <row r="175" spans="1:23" x14ac:dyDescent="0.25">
      <c r="A175" s="9" t="s">
        <v>37</v>
      </c>
      <c r="B175" s="14">
        <v>843</v>
      </c>
      <c r="C175" s="10">
        <v>396</v>
      </c>
      <c r="D175" s="11">
        <v>62</v>
      </c>
      <c r="E175" s="11">
        <v>679</v>
      </c>
      <c r="F175" s="11">
        <v>34.5</v>
      </c>
      <c r="G175" s="18">
        <v>735.5</v>
      </c>
      <c r="H175" s="15">
        <v>581.9</v>
      </c>
      <c r="I175" s="18">
        <v>861599</v>
      </c>
      <c r="J175" s="11">
        <v>20484</v>
      </c>
      <c r="K175" s="11">
        <v>34.29</v>
      </c>
      <c r="L175" s="11">
        <v>11717</v>
      </c>
      <c r="M175" s="15">
        <v>23434</v>
      </c>
      <c r="N175" s="18">
        <v>64516</v>
      </c>
      <c r="O175" s="11">
        <v>3245</v>
      </c>
      <c r="P175" s="11">
        <v>9.35</v>
      </c>
      <c r="Q175" s="11">
        <v>2540</v>
      </c>
      <c r="R175" s="15">
        <v>5080</v>
      </c>
      <c r="S175" s="18">
        <v>7242</v>
      </c>
      <c r="T175" s="11">
        <v>97747055</v>
      </c>
      <c r="U175" s="16"/>
      <c r="V175" s="9"/>
      <c r="W175" s="17"/>
    </row>
    <row r="176" spans="1:23" x14ac:dyDescent="0.25">
      <c r="A176" s="9" t="s">
        <v>37</v>
      </c>
      <c r="B176" s="14">
        <v>823</v>
      </c>
      <c r="C176" s="10">
        <v>390</v>
      </c>
      <c r="D176" s="11">
        <v>52.1</v>
      </c>
      <c r="E176" s="11">
        <v>679</v>
      </c>
      <c r="F176" s="11">
        <v>29</v>
      </c>
      <c r="G176" s="18">
        <v>617.4</v>
      </c>
      <c r="H176" s="15">
        <v>485.1</v>
      </c>
      <c r="I176" s="18">
        <v>699269</v>
      </c>
      <c r="J176" s="11">
        <v>16879</v>
      </c>
      <c r="K176" s="11">
        <v>33.53</v>
      </c>
      <c r="L176" s="11">
        <v>9750</v>
      </c>
      <c r="M176" s="15">
        <v>19501</v>
      </c>
      <c r="N176" s="18">
        <v>51613</v>
      </c>
      <c r="O176" s="11">
        <v>2655</v>
      </c>
      <c r="P176" s="11">
        <v>9.17</v>
      </c>
      <c r="Q176" s="11">
        <v>2065</v>
      </c>
      <c r="R176" s="15">
        <v>4130</v>
      </c>
      <c r="S176" s="18">
        <v>4287</v>
      </c>
      <c r="T176" s="11">
        <v>76801258</v>
      </c>
      <c r="U176" s="16"/>
      <c r="V176" s="9"/>
      <c r="W176" s="17"/>
    </row>
    <row r="177" spans="1:23" x14ac:dyDescent="0.25">
      <c r="A177" s="9" t="s">
        <v>37</v>
      </c>
      <c r="B177" s="14">
        <v>813</v>
      </c>
      <c r="C177" s="10">
        <v>387</v>
      </c>
      <c r="D177" s="11">
        <v>47</v>
      </c>
      <c r="E177" s="11">
        <v>679</v>
      </c>
      <c r="F177" s="11">
        <v>25.9</v>
      </c>
      <c r="G177" s="18">
        <v>552.9</v>
      </c>
      <c r="H177" s="15">
        <v>434.5</v>
      </c>
      <c r="I177" s="18">
        <v>620185</v>
      </c>
      <c r="J177" s="11">
        <v>15207</v>
      </c>
      <c r="K177" s="11">
        <v>33.53</v>
      </c>
      <c r="L177" s="11">
        <v>8685</v>
      </c>
      <c r="M177" s="15">
        <v>17370</v>
      </c>
      <c r="N177" s="18">
        <v>45785</v>
      </c>
      <c r="O177" s="11">
        <v>2360</v>
      </c>
      <c r="P177" s="11">
        <v>9.09</v>
      </c>
      <c r="Q177" s="11">
        <v>1827</v>
      </c>
      <c r="R177" s="15">
        <v>3654</v>
      </c>
      <c r="S177" s="18">
        <v>3118</v>
      </c>
      <c r="T177" s="11">
        <v>66865431</v>
      </c>
      <c r="U177" s="16"/>
      <c r="V177" s="9"/>
      <c r="W177" s="17"/>
    </row>
    <row r="178" spans="1:23" x14ac:dyDescent="0.25">
      <c r="A178" s="9" t="s">
        <v>37</v>
      </c>
      <c r="B178" s="14">
        <v>803</v>
      </c>
      <c r="C178" s="10">
        <v>385</v>
      </c>
      <c r="D178" s="11">
        <v>41.9</v>
      </c>
      <c r="E178" s="11">
        <v>679</v>
      </c>
      <c r="F178" s="11">
        <v>23.6</v>
      </c>
      <c r="G178" s="18">
        <v>494.8</v>
      </c>
      <c r="H178" s="15">
        <v>388.4</v>
      </c>
      <c r="I178" s="18">
        <v>545263</v>
      </c>
      <c r="J178" s="11">
        <v>13552</v>
      </c>
      <c r="K178" s="11">
        <v>33.270000000000003</v>
      </c>
      <c r="L178" s="11">
        <v>7710</v>
      </c>
      <c r="M178" s="15">
        <v>15420</v>
      </c>
      <c r="N178" s="18">
        <v>39917</v>
      </c>
      <c r="O178" s="11">
        <v>2081</v>
      </c>
      <c r="P178" s="11">
        <v>8.99</v>
      </c>
      <c r="Q178" s="11">
        <v>1606</v>
      </c>
      <c r="R178" s="15">
        <v>3212</v>
      </c>
      <c r="S178" s="18">
        <v>2239</v>
      </c>
      <c r="T178" s="11">
        <v>57735211</v>
      </c>
      <c r="U178" s="16"/>
      <c r="V178" s="9"/>
      <c r="W178" s="17"/>
    </row>
    <row r="179" spans="1:23" x14ac:dyDescent="0.25">
      <c r="A179" s="9" t="s">
        <v>37</v>
      </c>
      <c r="B179" s="14">
        <v>795</v>
      </c>
      <c r="C179" s="10">
        <v>382</v>
      </c>
      <c r="D179" s="11">
        <v>38.1</v>
      </c>
      <c r="E179" s="11">
        <v>679</v>
      </c>
      <c r="F179" s="11">
        <v>21.1</v>
      </c>
      <c r="G179" s="18">
        <v>445.2</v>
      </c>
      <c r="H179" s="15">
        <v>349.7</v>
      </c>
      <c r="I179" s="18">
        <v>486991</v>
      </c>
      <c r="J179" s="11">
        <v>12225</v>
      </c>
      <c r="K179" s="11">
        <v>33.020000000000003</v>
      </c>
      <c r="L179" s="11">
        <v>6924</v>
      </c>
      <c r="M179" s="15">
        <v>13847</v>
      </c>
      <c r="N179" s="18">
        <v>35588</v>
      </c>
      <c r="O179" s="11">
        <v>1868</v>
      </c>
      <c r="P179" s="11">
        <v>8.94</v>
      </c>
      <c r="Q179" s="11">
        <v>1434</v>
      </c>
      <c r="R179" s="15">
        <v>2868</v>
      </c>
      <c r="S179" s="18">
        <v>1665</v>
      </c>
      <c r="T179" s="11">
        <v>51021815</v>
      </c>
      <c r="U179" s="16"/>
      <c r="V179" s="9"/>
      <c r="W179" s="17"/>
    </row>
    <row r="180" spans="1:23" x14ac:dyDescent="0.25">
      <c r="A180" s="9" t="s">
        <v>37</v>
      </c>
      <c r="B180" s="14">
        <v>786</v>
      </c>
      <c r="C180" s="10">
        <v>384</v>
      </c>
      <c r="D180" s="11">
        <v>33.4</v>
      </c>
      <c r="E180" s="11">
        <v>679</v>
      </c>
      <c r="F180" s="11">
        <v>19.7</v>
      </c>
      <c r="G180" s="18">
        <v>400</v>
      </c>
      <c r="H180" s="15">
        <v>314</v>
      </c>
      <c r="I180" s="18">
        <v>428718</v>
      </c>
      <c r="J180" s="11">
        <v>10865</v>
      </c>
      <c r="K180" s="11">
        <v>32.770000000000003</v>
      </c>
      <c r="L180" s="11">
        <v>6137</v>
      </c>
      <c r="M180" s="15">
        <v>12274</v>
      </c>
      <c r="N180" s="18">
        <v>31509</v>
      </c>
      <c r="O180" s="11">
        <v>1639</v>
      </c>
      <c r="P180" s="11">
        <v>8.86</v>
      </c>
      <c r="Q180" s="11">
        <v>1262</v>
      </c>
      <c r="R180" s="15">
        <v>2524</v>
      </c>
      <c r="S180" s="18">
        <v>1161</v>
      </c>
      <c r="T180" s="11">
        <v>44576954</v>
      </c>
      <c r="U180" s="16"/>
      <c r="V180" s="9"/>
      <c r="W180" s="17"/>
    </row>
    <row r="181" spans="1:23" x14ac:dyDescent="0.25">
      <c r="A181" s="9" t="s">
        <v>37</v>
      </c>
      <c r="B181" s="14">
        <v>779</v>
      </c>
      <c r="C181" s="10">
        <v>382</v>
      </c>
      <c r="D181" s="11">
        <v>30.1</v>
      </c>
      <c r="E181" s="11">
        <v>679</v>
      </c>
      <c r="F181" s="11">
        <v>18</v>
      </c>
      <c r="G181" s="18">
        <v>361.9</v>
      </c>
      <c r="H181" s="15">
        <v>284.2</v>
      </c>
      <c r="I181" s="18">
        <v>381684</v>
      </c>
      <c r="J181" s="11">
        <v>9799</v>
      </c>
      <c r="K181" s="11">
        <v>32.51</v>
      </c>
      <c r="L181" s="11">
        <v>5514</v>
      </c>
      <c r="M181" s="15">
        <v>11028</v>
      </c>
      <c r="N181" s="18">
        <v>28012</v>
      </c>
      <c r="O181" s="11">
        <v>1467</v>
      </c>
      <c r="P181" s="11">
        <v>8.7899999999999991</v>
      </c>
      <c r="Q181" s="11">
        <v>1131</v>
      </c>
      <c r="R181" s="15">
        <v>2261</v>
      </c>
      <c r="S181" s="18">
        <v>857</v>
      </c>
      <c r="T181" s="11">
        <v>39206237</v>
      </c>
      <c r="U181" s="16"/>
      <c r="V181" s="9"/>
      <c r="W181" s="17"/>
    </row>
    <row r="182" spans="1:23" x14ac:dyDescent="0.25">
      <c r="A182" s="9" t="s">
        <v>37</v>
      </c>
      <c r="B182" s="14">
        <v>773</v>
      </c>
      <c r="C182" s="10">
        <v>381</v>
      </c>
      <c r="D182" s="11">
        <v>27.1</v>
      </c>
      <c r="E182" s="11">
        <v>679</v>
      </c>
      <c r="F182" s="11">
        <v>16.600000000000001</v>
      </c>
      <c r="G182" s="18">
        <v>327.7</v>
      </c>
      <c r="H182" s="15">
        <v>257.5</v>
      </c>
      <c r="I182" s="18">
        <v>341310</v>
      </c>
      <c r="J182" s="11">
        <v>8833</v>
      </c>
      <c r="K182" s="11">
        <v>32.26</v>
      </c>
      <c r="L182" s="11">
        <v>4957</v>
      </c>
      <c r="M182" s="15">
        <v>9914</v>
      </c>
      <c r="N182" s="18">
        <v>24891</v>
      </c>
      <c r="O182" s="11">
        <v>1308</v>
      </c>
      <c r="P182" s="11">
        <v>8.7100000000000009</v>
      </c>
      <c r="Q182" s="11">
        <v>1008</v>
      </c>
      <c r="R182" s="15">
        <v>2016</v>
      </c>
      <c r="S182" s="18">
        <v>637</v>
      </c>
      <c r="T182" s="11">
        <v>34641127</v>
      </c>
      <c r="U182" s="16"/>
      <c r="V182" s="9"/>
      <c r="W182" s="17"/>
    </row>
    <row r="183" spans="1:23" x14ac:dyDescent="0.25">
      <c r="A183" s="9" t="s">
        <v>37</v>
      </c>
      <c r="B183" s="14">
        <v>779</v>
      </c>
      <c r="C183" s="10">
        <v>266</v>
      </c>
      <c r="D183" s="11">
        <v>30</v>
      </c>
      <c r="E183" s="11">
        <v>679</v>
      </c>
      <c r="F183" s="11">
        <v>16.5</v>
      </c>
      <c r="G183" s="18">
        <v>280.60000000000002</v>
      </c>
      <c r="H183" s="15">
        <v>220.2</v>
      </c>
      <c r="I183" s="18">
        <v>278043</v>
      </c>
      <c r="J183" s="11">
        <v>7145</v>
      </c>
      <c r="K183" s="11">
        <v>31.5</v>
      </c>
      <c r="L183" s="11">
        <v>4097</v>
      </c>
      <c r="M183" s="15">
        <v>8194</v>
      </c>
      <c r="N183" s="18">
        <v>9448</v>
      </c>
      <c r="O183" s="11">
        <v>710</v>
      </c>
      <c r="P183" s="11">
        <v>5.79</v>
      </c>
      <c r="Q183" s="11">
        <v>557</v>
      </c>
      <c r="R183" s="15">
        <v>1114</v>
      </c>
      <c r="S183" s="18">
        <v>608</v>
      </c>
      <c r="T183" s="11">
        <v>13265672</v>
      </c>
      <c r="U183" s="16"/>
      <c r="V183" s="9"/>
      <c r="W183" s="17"/>
    </row>
    <row r="184" spans="1:23" x14ac:dyDescent="0.25">
      <c r="A184" s="9" t="s">
        <v>37</v>
      </c>
      <c r="B184" s="14">
        <v>770</v>
      </c>
      <c r="C184" s="10">
        <v>268</v>
      </c>
      <c r="D184" s="11">
        <v>25.4</v>
      </c>
      <c r="E184" s="11">
        <v>679</v>
      </c>
      <c r="F184" s="11">
        <v>15.6</v>
      </c>
      <c r="G184" s="18">
        <v>251</v>
      </c>
      <c r="H184" s="15">
        <v>196.4</v>
      </c>
      <c r="I184" s="18">
        <v>240166</v>
      </c>
      <c r="J184" s="11">
        <v>6227</v>
      </c>
      <c r="K184" s="11">
        <v>30.99</v>
      </c>
      <c r="L184" s="11">
        <v>3581</v>
      </c>
      <c r="M184" s="15">
        <v>7161</v>
      </c>
      <c r="N184" s="18">
        <v>8158</v>
      </c>
      <c r="O184" s="11">
        <v>610</v>
      </c>
      <c r="P184" s="11">
        <v>5.72</v>
      </c>
      <c r="Q184" s="11">
        <v>479</v>
      </c>
      <c r="R184" s="15">
        <v>957</v>
      </c>
      <c r="S184" s="18">
        <v>405</v>
      </c>
      <c r="T184" s="11">
        <v>11305360</v>
      </c>
      <c r="U184" s="16"/>
      <c r="V184" s="9"/>
      <c r="W184" s="17"/>
    </row>
    <row r="185" spans="1:23" x14ac:dyDescent="0.25">
      <c r="A185" s="9" t="s">
        <v>37</v>
      </c>
      <c r="B185" s="14">
        <v>766</v>
      </c>
      <c r="C185" s="10">
        <v>267</v>
      </c>
      <c r="D185" s="11">
        <v>23.6</v>
      </c>
      <c r="E185" s="11">
        <v>679</v>
      </c>
      <c r="F185" s="11">
        <v>14.9</v>
      </c>
      <c r="G185" s="18">
        <v>235.5</v>
      </c>
      <c r="H185" s="15">
        <v>184.5</v>
      </c>
      <c r="I185" s="18">
        <v>223100</v>
      </c>
      <c r="J185" s="11">
        <v>5817</v>
      </c>
      <c r="K185" s="11">
        <v>30.73</v>
      </c>
      <c r="L185" s="11">
        <v>3343</v>
      </c>
      <c r="M185" s="15">
        <v>6686</v>
      </c>
      <c r="N185" s="18">
        <v>7534</v>
      </c>
      <c r="O185" s="11">
        <v>564</v>
      </c>
      <c r="P185" s="11">
        <v>5.66</v>
      </c>
      <c r="Q185" s="11">
        <v>442</v>
      </c>
      <c r="R185" s="15">
        <v>885</v>
      </c>
      <c r="S185" s="18">
        <v>333</v>
      </c>
      <c r="T185" s="11">
        <v>10365484</v>
      </c>
      <c r="U185" s="16"/>
      <c r="V185" s="9"/>
      <c r="W185" s="17"/>
    </row>
    <row r="186" spans="1:23" x14ac:dyDescent="0.25">
      <c r="A186" s="9" t="s">
        <v>37</v>
      </c>
      <c r="B186" s="14">
        <v>762</v>
      </c>
      <c r="C186" s="10">
        <v>267</v>
      </c>
      <c r="D186" s="11">
        <v>21.6</v>
      </c>
      <c r="E186" s="11">
        <v>679</v>
      </c>
      <c r="F186" s="11">
        <v>14.4</v>
      </c>
      <c r="G186" s="18">
        <v>220.6</v>
      </c>
      <c r="H186" s="15">
        <v>172.6</v>
      </c>
      <c r="I186" s="18">
        <v>205202</v>
      </c>
      <c r="J186" s="11">
        <v>5391</v>
      </c>
      <c r="K186" s="11">
        <v>30.48</v>
      </c>
      <c r="L186" s="11">
        <v>3097</v>
      </c>
      <c r="M186" s="15">
        <v>6194</v>
      </c>
      <c r="N186" s="18">
        <v>6826</v>
      </c>
      <c r="O186" s="11">
        <v>513</v>
      </c>
      <c r="P186" s="11">
        <v>5.56</v>
      </c>
      <c r="Q186" s="11">
        <v>403</v>
      </c>
      <c r="R186" s="15">
        <v>806</v>
      </c>
      <c r="S186" s="18">
        <v>268</v>
      </c>
      <c r="T186" s="11">
        <v>9371902</v>
      </c>
      <c r="U186" s="16"/>
      <c r="V186" s="9"/>
      <c r="W186" s="17"/>
    </row>
    <row r="187" spans="1:23" x14ac:dyDescent="0.25">
      <c r="A187" s="9" t="s">
        <v>37</v>
      </c>
      <c r="B187" s="14">
        <v>758</v>
      </c>
      <c r="C187" s="10">
        <v>266</v>
      </c>
      <c r="D187" s="11">
        <v>19.3</v>
      </c>
      <c r="E187" s="11">
        <v>679</v>
      </c>
      <c r="F187" s="11">
        <v>13.8</v>
      </c>
      <c r="G187" s="18">
        <v>204.5</v>
      </c>
      <c r="H187" s="15">
        <v>160.69999999999999</v>
      </c>
      <c r="I187" s="18">
        <v>186055</v>
      </c>
      <c r="J187" s="11">
        <v>4900</v>
      </c>
      <c r="K187" s="11">
        <v>30.23</v>
      </c>
      <c r="L187" s="11">
        <v>2835</v>
      </c>
      <c r="M187" s="15">
        <v>5670</v>
      </c>
      <c r="N187" s="18">
        <v>6077</v>
      </c>
      <c r="O187" s="11">
        <v>457</v>
      </c>
      <c r="P187" s="11">
        <v>5.46</v>
      </c>
      <c r="Q187" s="11">
        <v>360</v>
      </c>
      <c r="R187" s="15">
        <v>719</v>
      </c>
      <c r="S187" s="18">
        <v>208</v>
      </c>
      <c r="T187" s="11">
        <v>8297758</v>
      </c>
      <c r="U187" s="16"/>
      <c r="V187" s="9"/>
      <c r="W187" s="17"/>
    </row>
    <row r="188" spans="1:23" x14ac:dyDescent="0.25">
      <c r="A188" s="9" t="s">
        <v>37</v>
      </c>
      <c r="B188" s="14">
        <v>753</v>
      </c>
      <c r="C188" s="10">
        <v>265</v>
      </c>
      <c r="D188" s="11">
        <v>17</v>
      </c>
      <c r="E188" s="11">
        <v>679</v>
      </c>
      <c r="F188" s="11">
        <v>13.2</v>
      </c>
      <c r="G188" s="18">
        <v>187.7</v>
      </c>
      <c r="H188" s="15">
        <v>147.30000000000001</v>
      </c>
      <c r="I188" s="18">
        <v>166076</v>
      </c>
      <c r="J188" s="11">
        <v>4408</v>
      </c>
      <c r="K188" s="11">
        <v>29.72</v>
      </c>
      <c r="L188" s="11">
        <v>2556</v>
      </c>
      <c r="M188" s="15">
        <v>5113</v>
      </c>
      <c r="N188" s="18">
        <v>5328</v>
      </c>
      <c r="O188" s="11">
        <v>401</v>
      </c>
      <c r="P188" s="11">
        <v>5.33</v>
      </c>
      <c r="Q188" s="11">
        <v>316</v>
      </c>
      <c r="R188" s="15">
        <v>633</v>
      </c>
      <c r="S188" s="18">
        <v>157</v>
      </c>
      <c r="T188" s="11">
        <v>7196761</v>
      </c>
      <c r="U188" s="16"/>
      <c r="V188" s="9"/>
      <c r="W188" s="17"/>
    </row>
    <row r="189" spans="1:23" x14ac:dyDescent="0.25">
      <c r="A189" s="9" t="s">
        <v>37</v>
      </c>
      <c r="B189" s="14">
        <v>750</v>
      </c>
      <c r="C189" s="10">
        <v>264</v>
      </c>
      <c r="D189" s="11">
        <v>15.5</v>
      </c>
      <c r="E189" s="11">
        <v>679</v>
      </c>
      <c r="F189" s="11">
        <v>11.9</v>
      </c>
      <c r="G189" s="18">
        <v>170.3</v>
      </c>
      <c r="H189" s="15">
        <v>133.9</v>
      </c>
      <c r="I189" s="18">
        <v>150676</v>
      </c>
      <c r="J189" s="11">
        <v>4015</v>
      </c>
      <c r="K189" s="11">
        <v>29.72</v>
      </c>
      <c r="L189" s="11">
        <v>2319</v>
      </c>
      <c r="M189" s="15">
        <v>4638</v>
      </c>
      <c r="N189" s="18">
        <v>4787</v>
      </c>
      <c r="O189" s="11">
        <v>362</v>
      </c>
      <c r="P189" s="11">
        <v>5.31</v>
      </c>
      <c r="Q189" s="11">
        <v>284</v>
      </c>
      <c r="R189" s="15">
        <v>569</v>
      </c>
      <c r="S189" s="18">
        <v>122</v>
      </c>
      <c r="T189" s="11">
        <v>6444861</v>
      </c>
      <c r="U189" s="16"/>
      <c r="V189" s="9"/>
      <c r="W189" s="17"/>
    </row>
    <row r="190" spans="1:23" x14ac:dyDescent="0.25">
      <c r="A190" s="9" t="s">
        <v>37</v>
      </c>
      <c r="B190" s="14">
        <v>826</v>
      </c>
      <c r="C190" s="10">
        <v>387</v>
      </c>
      <c r="D190" s="11">
        <v>89.9</v>
      </c>
      <c r="E190" s="11">
        <v>610</v>
      </c>
      <c r="F190" s="11">
        <v>50</v>
      </c>
      <c r="G190" s="18">
        <v>1019</v>
      </c>
      <c r="H190" s="15">
        <v>802.1</v>
      </c>
      <c r="I190" s="18">
        <v>1061390</v>
      </c>
      <c r="J190" s="11">
        <v>25728</v>
      </c>
      <c r="K190" s="11">
        <v>32.26</v>
      </c>
      <c r="L190" s="11">
        <v>15404</v>
      </c>
      <c r="M190" s="15">
        <v>30808</v>
      </c>
      <c r="N190" s="18">
        <v>87825</v>
      </c>
      <c r="O190" s="11">
        <v>4539</v>
      </c>
      <c r="P190" s="11">
        <v>9.3000000000000007</v>
      </c>
      <c r="Q190" s="11">
        <v>3581</v>
      </c>
      <c r="R190" s="15">
        <v>7161</v>
      </c>
      <c r="S190" s="18">
        <v>20770</v>
      </c>
      <c r="T190" s="11">
        <v>118155781</v>
      </c>
      <c r="U190" s="16"/>
      <c r="V190" s="9"/>
      <c r="W190" s="17"/>
    </row>
    <row r="191" spans="1:23" x14ac:dyDescent="0.25">
      <c r="A191" s="9" t="s">
        <v>37</v>
      </c>
      <c r="B191" s="14">
        <v>798</v>
      </c>
      <c r="C191" s="10">
        <v>379</v>
      </c>
      <c r="D191" s="11">
        <v>75.900000000000006</v>
      </c>
      <c r="E191" s="11">
        <v>610</v>
      </c>
      <c r="F191" s="11">
        <v>41.9</v>
      </c>
      <c r="G191" s="18">
        <v>845.2</v>
      </c>
      <c r="H191" s="15">
        <v>666.7</v>
      </c>
      <c r="I191" s="18">
        <v>849112</v>
      </c>
      <c r="J191" s="11">
        <v>21303</v>
      </c>
      <c r="K191" s="11">
        <v>31.75</v>
      </c>
      <c r="L191" s="11">
        <v>12536</v>
      </c>
      <c r="M191" s="15">
        <v>25072</v>
      </c>
      <c r="N191" s="18">
        <v>69511</v>
      </c>
      <c r="O191" s="11">
        <v>3671</v>
      </c>
      <c r="P191" s="11">
        <v>9.07</v>
      </c>
      <c r="Q191" s="11">
        <v>2876</v>
      </c>
      <c r="R191" s="15">
        <v>5752</v>
      </c>
      <c r="S191" s="18">
        <v>12362</v>
      </c>
      <c r="T191" s="11">
        <v>90228051</v>
      </c>
      <c r="U191" s="16"/>
      <c r="V191" s="9"/>
      <c r="W191" s="17"/>
    </row>
    <row r="192" spans="1:23" x14ac:dyDescent="0.25">
      <c r="A192" s="9" t="s">
        <v>37</v>
      </c>
      <c r="B192" s="14">
        <v>772</v>
      </c>
      <c r="C192" s="10">
        <v>372</v>
      </c>
      <c r="D192" s="11">
        <v>63</v>
      </c>
      <c r="E192" s="11">
        <v>610</v>
      </c>
      <c r="F192" s="11">
        <v>35.1</v>
      </c>
      <c r="G192" s="18">
        <v>696.8</v>
      </c>
      <c r="H192" s="15">
        <v>547.6</v>
      </c>
      <c r="I192" s="18">
        <v>670133</v>
      </c>
      <c r="J192" s="11">
        <v>17370</v>
      </c>
      <c r="K192" s="11">
        <v>30.99</v>
      </c>
      <c r="L192" s="11">
        <v>10160</v>
      </c>
      <c r="M192" s="15">
        <v>20320</v>
      </c>
      <c r="N192" s="18">
        <v>54526</v>
      </c>
      <c r="O192" s="11">
        <v>2933</v>
      </c>
      <c r="P192" s="11">
        <v>8.84</v>
      </c>
      <c r="Q192" s="11">
        <v>2286</v>
      </c>
      <c r="R192" s="15">
        <v>4572</v>
      </c>
      <c r="S192" s="18">
        <v>7034</v>
      </c>
      <c r="T192" s="11">
        <v>68208110</v>
      </c>
      <c r="U192" s="16"/>
      <c r="V192" s="9"/>
      <c r="W192" s="17"/>
    </row>
    <row r="193" spans="1:23" x14ac:dyDescent="0.25">
      <c r="A193" s="9" t="s">
        <v>37</v>
      </c>
      <c r="B193" s="14">
        <v>752</v>
      </c>
      <c r="C193" s="10">
        <v>367</v>
      </c>
      <c r="D193" s="11">
        <v>53.1</v>
      </c>
      <c r="E193" s="11">
        <v>610</v>
      </c>
      <c r="F193" s="11">
        <v>29.5</v>
      </c>
      <c r="G193" s="18">
        <v>581.9</v>
      </c>
      <c r="H193" s="15">
        <v>456.9</v>
      </c>
      <c r="I193" s="18">
        <v>545263</v>
      </c>
      <c r="J193" s="11">
        <v>14486</v>
      </c>
      <c r="K193" s="11">
        <v>30.48</v>
      </c>
      <c r="L193" s="11">
        <v>8357</v>
      </c>
      <c r="M193" s="15">
        <v>16715</v>
      </c>
      <c r="N193" s="18">
        <v>43704</v>
      </c>
      <c r="O193" s="11">
        <v>2393</v>
      </c>
      <c r="P193" s="11">
        <v>8.69</v>
      </c>
      <c r="Q193" s="11">
        <v>1860</v>
      </c>
      <c r="R193" s="15">
        <v>3720</v>
      </c>
      <c r="S193" s="18">
        <v>4204</v>
      </c>
      <c r="T193" s="11">
        <v>53438637</v>
      </c>
      <c r="U193" s="16"/>
      <c r="V193" s="9"/>
      <c r="W193" s="17"/>
    </row>
    <row r="194" spans="1:23" x14ac:dyDescent="0.25">
      <c r="A194" s="9" t="s">
        <v>37</v>
      </c>
      <c r="B194" s="14">
        <v>736</v>
      </c>
      <c r="C194" s="10">
        <v>362</v>
      </c>
      <c r="D194" s="11">
        <v>45</v>
      </c>
      <c r="E194" s="11">
        <v>610</v>
      </c>
      <c r="F194" s="11">
        <v>24.9</v>
      </c>
      <c r="G194" s="18">
        <v>488.4</v>
      </c>
      <c r="H194" s="15">
        <v>383.9</v>
      </c>
      <c r="I194" s="18">
        <v>449530</v>
      </c>
      <c r="J194" s="11">
        <v>12159</v>
      </c>
      <c r="K194" s="11">
        <v>30.23</v>
      </c>
      <c r="L194" s="11">
        <v>6965</v>
      </c>
      <c r="M194" s="15">
        <v>13929</v>
      </c>
      <c r="N194" s="18">
        <v>35754</v>
      </c>
      <c r="O194" s="11">
        <v>1966</v>
      </c>
      <c r="P194" s="11">
        <v>8.56</v>
      </c>
      <c r="Q194" s="11">
        <v>1532</v>
      </c>
      <c r="R194" s="15">
        <v>3064</v>
      </c>
      <c r="S194" s="18">
        <v>2539</v>
      </c>
      <c r="T194" s="11">
        <v>42697203</v>
      </c>
      <c r="U194" s="16"/>
      <c r="V194" s="9"/>
      <c r="W194" s="17"/>
    </row>
    <row r="195" spans="1:23" x14ac:dyDescent="0.25">
      <c r="A195" s="9" t="s">
        <v>37</v>
      </c>
      <c r="B195" s="14">
        <v>728</v>
      </c>
      <c r="C195" s="10">
        <v>360</v>
      </c>
      <c r="D195" s="11">
        <v>40.9</v>
      </c>
      <c r="E195" s="11">
        <v>610</v>
      </c>
      <c r="F195" s="11">
        <v>23.1</v>
      </c>
      <c r="G195" s="18">
        <v>445.8</v>
      </c>
      <c r="H195" s="15">
        <v>349.7</v>
      </c>
      <c r="I195" s="18">
        <v>402080</v>
      </c>
      <c r="J195" s="11">
        <v>11045</v>
      </c>
      <c r="K195" s="11">
        <v>29.97</v>
      </c>
      <c r="L195" s="11">
        <v>6301</v>
      </c>
      <c r="M195" s="15">
        <v>12602</v>
      </c>
      <c r="N195" s="18">
        <v>31967</v>
      </c>
      <c r="O195" s="11">
        <v>1770</v>
      </c>
      <c r="P195" s="11">
        <v>8.4600000000000009</v>
      </c>
      <c r="Q195" s="11">
        <v>1377</v>
      </c>
      <c r="R195" s="15">
        <v>2753</v>
      </c>
      <c r="S195" s="18">
        <v>1927</v>
      </c>
      <c r="T195" s="11">
        <v>37595021</v>
      </c>
      <c r="U195" s="16"/>
      <c r="V195" s="9"/>
      <c r="W195" s="17"/>
    </row>
    <row r="196" spans="1:23" x14ac:dyDescent="0.25">
      <c r="A196" s="9" t="s">
        <v>37</v>
      </c>
      <c r="B196" s="14">
        <v>722</v>
      </c>
      <c r="C196" s="10">
        <v>359</v>
      </c>
      <c r="D196" s="11">
        <v>38.1</v>
      </c>
      <c r="E196" s="11">
        <v>610</v>
      </c>
      <c r="F196" s="11">
        <v>21.1</v>
      </c>
      <c r="G196" s="18">
        <v>411.6</v>
      </c>
      <c r="H196" s="15">
        <v>322.89999999999998</v>
      </c>
      <c r="I196" s="18">
        <v>369197</v>
      </c>
      <c r="J196" s="11">
        <v>10226</v>
      </c>
      <c r="K196" s="11">
        <v>29.97</v>
      </c>
      <c r="L196" s="11">
        <v>5801</v>
      </c>
      <c r="M196" s="15">
        <v>11602</v>
      </c>
      <c r="N196" s="18">
        <v>29303</v>
      </c>
      <c r="O196" s="11">
        <v>1635</v>
      </c>
      <c r="P196" s="11">
        <v>8.43</v>
      </c>
      <c r="Q196" s="11">
        <v>1262</v>
      </c>
      <c r="R196" s="15">
        <v>2524</v>
      </c>
      <c r="S196" s="18">
        <v>1540</v>
      </c>
      <c r="T196" s="11">
        <v>34372591</v>
      </c>
      <c r="U196" s="16"/>
      <c r="V196" s="9"/>
      <c r="W196" s="17"/>
    </row>
    <row r="197" spans="1:23" x14ac:dyDescent="0.25">
      <c r="A197" s="9" t="s">
        <v>37</v>
      </c>
      <c r="B197" s="14">
        <v>714</v>
      </c>
      <c r="C197" s="10">
        <v>356</v>
      </c>
      <c r="D197" s="11">
        <v>34</v>
      </c>
      <c r="E197" s="11">
        <v>610</v>
      </c>
      <c r="F197" s="11">
        <v>19.100000000000001</v>
      </c>
      <c r="G197" s="18">
        <v>367.7</v>
      </c>
      <c r="H197" s="15">
        <v>288.7</v>
      </c>
      <c r="I197" s="18">
        <v>325493</v>
      </c>
      <c r="J197" s="11">
        <v>9111</v>
      </c>
      <c r="K197" s="11">
        <v>29.72</v>
      </c>
      <c r="L197" s="11">
        <v>5146</v>
      </c>
      <c r="M197" s="15">
        <v>10291</v>
      </c>
      <c r="N197" s="18">
        <v>25723</v>
      </c>
      <c r="O197" s="11">
        <v>1444</v>
      </c>
      <c r="P197" s="11">
        <v>8.36</v>
      </c>
      <c r="Q197" s="11">
        <v>1114</v>
      </c>
      <c r="R197" s="15">
        <v>2229</v>
      </c>
      <c r="S197" s="18">
        <v>1103</v>
      </c>
      <c r="T197" s="11">
        <v>29807481</v>
      </c>
      <c r="U197" s="16"/>
      <c r="V197" s="9"/>
      <c r="W197" s="17"/>
    </row>
    <row r="198" spans="1:23" x14ac:dyDescent="0.25">
      <c r="A198" s="9" t="s">
        <v>37</v>
      </c>
      <c r="B198" s="14">
        <v>706</v>
      </c>
      <c r="C198" s="10">
        <v>358</v>
      </c>
      <c r="D198" s="11">
        <v>30.2</v>
      </c>
      <c r="E198" s="11">
        <v>610</v>
      </c>
      <c r="F198" s="11">
        <v>18.399999999999999</v>
      </c>
      <c r="G198" s="18">
        <v>337.4</v>
      </c>
      <c r="H198" s="15">
        <v>264.89999999999998</v>
      </c>
      <c r="I198" s="18">
        <v>290946</v>
      </c>
      <c r="J198" s="11">
        <v>8226</v>
      </c>
      <c r="K198" s="11">
        <v>29.46</v>
      </c>
      <c r="L198" s="11">
        <v>4646</v>
      </c>
      <c r="M198" s="15">
        <v>9291</v>
      </c>
      <c r="N198" s="18">
        <v>23101</v>
      </c>
      <c r="O198" s="11">
        <v>1291</v>
      </c>
      <c r="P198" s="11">
        <v>8.2799999999999994</v>
      </c>
      <c r="Q198" s="11">
        <v>1000</v>
      </c>
      <c r="R198" s="15">
        <v>1999</v>
      </c>
      <c r="S198" s="18">
        <v>812</v>
      </c>
      <c r="T198" s="11">
        <v>26397076</v>
      </c>
      <c r="U198" s="16"/>
      <c r="V198" s="9"/>
      <c r="W198" s="17"/>
    </row>
    <row r="199" spans="1:23" x14ac:dyDescent="0.25">
      <c r="A199" s="9" t="s">
        <v>37</v>
      </c>
      <c r="B199" s="14">
        <v>701</v>
      </c>
      <c r="C199" s="10">
        <v>356</v>
      </c>
      <c r="D199" s="11">
        <v>27.4</v>
      </c>
      <c r="E199" s="11">
        <v>610</v>
      </c>
      <c r="F199" s="11">
        <v>16.8</v>
      </c>
      <c r="G199" s="18">
        <v>305.8</v>
      </c>
      <c r="H199" s="15">
        <v>239.6</v>
      </c>
      <c r="I199" s="18">
        <v>261393</v>
      </c>
      <c r="J199" s="11">
        <v>7456</v>
      </c>
      <c r="K199" s="11">
        <v>29.21</v>
      </c>
      <c r="L199" s="11">
        <v>4195</v>
      </c>
      <c r="M199" s="15">
        <v>8390</v>
      </c>
      <c r="N199" s="18">
        <v>20687</v>
      </c>
      <c r="O199" s="11">
        <v>1162</v>
      </c>
      <c r="P199" s="11">
        <v>8.23</v>
      </c>
      <c r="Q199" s="11">
        <v>893</v>
      </c>
      <c r="R199" s="15">
        <v>1786</v>
      </c>
      <c r="S199" s="18">
        <v>612</v>
      </c>
      <c r="T199" s="11">
        <v>23443181</v>
      </c>
      <c r="U199" s="16"/>
      <c r="V199" s="9"/>
      <c r="W199" s="17"/>
    </row>
    <row r="200" spans="1:23" x14ac:dyDescent="0.25">
      <c r="A200" s="9" t="s">
        <v>37</v>
      </c>
      <c r="B200" s="14">
        <v>695</v>
      </c>
      <c r="C200" s="10">
        <v>355</v>
      </c>
      <c r="D200" s="11">
        <v>24.8</v>
      </c>
      <c r="E200" s="11">
        <v>610</v>
      </c>
      <c r="F200" s="11">
        <v>15.4</v>
      </c>
      <c r="G200" s="18">
        <v>276.8</v>
      </c>
      <c r="H200" s="15">
        <v>217.3</v>
      </c>
      <c r="I200" s="18">
        <v>234338</v>
      </c>
      <c r="J200" s="11">
        <v>6735</v>
      </c>
      <c r="K200" s="11">
        <v>28.96</v>
      </c>
      <c r="L200" s="11">
        <v>3777</v>
      </c>
      <c r="M200" s="15">
        <v>7554</v>
      </c>
      <c r="N200" s="18">
        <v>18439</v>
      </c>
      <c r="O200" s="11">
        <v>1041</v>
      </c>
      <c r="P200" s="11">
        <v>8.15</v>
      </c>
      <c r="Q200" s="11">
        <v>799</v>
      </c>
      <c r="R200" s="15">
        <v>1598</v>
      </c>
      <c r="S200" s="18">
        <v>454</v>
      </c>
      <c r="T200" s="11">
        <v>20730969</v>
      </c>
      <c r="U200" s="16"/>
      <c r="V200" s="9"/>
      <c r="W200" s="17"/>
    </row>
    <row r="201" spans="1:23" x14ac:dyDescent="0.25">
      <c r="A201" s="9" t="s">
        <v>37</v>
      </c>
      <c r="B201" s="14">
        <v>702</v>
      </c>
      <c r="C201" s="10">
        <v>254</v>
      </c>
      <c r="D201" s="11">
        <v>27.9</v>
      </c>
      <c r="E201" s="11">
        <v>610</v>
      </c>
      <c r="F201" s="11">
        <v>15.5</v>
      </c>
      <c r="G201" s="18">
        <v>243.9</v>
      </c>
      <c r="H201" s="15">
        <v>192</v>
      </c>
      <c r="I201" s="18">
        <v>198126</v>
      </c>
      <c r="J201" s="11">
        <v>5654</v>
      </c>
      <c r="K201" s="11">
        <v>28.45</v>
      </c>
      <c r="L201" s="11">
        <v>3236</v>
      </c>
      <c r="M201" s="15">
        <v>6473</v>
      </c>
      <c r="N201" s="18">
        <v>7659</v>
      </c>
      <c r="O201" s="11">
        <v>603</v>
      </c>
      <c r="P201" s="11">
        <v>5.61</v>
      </c>
      <c r="Q201" s="11">
        <v>472</v>
      </c>
      <c r="R201" s="15">
        <v>944</v>
      </c>
      <c r="S201" s="18">
        <v>466</v>
      </c>
      <c r="T201" s="11">
        <v>8727416</v>
      </c>
      <c r="U201" s="16"/>
      <c r="V201" s="9"/>
      <c r="W201" s="17"/>
    </row>
    <row r="202" spans="1:23" x14ac:dyDescent="0.25">
      <c r="A202" s="9" t="s">
        <v>37</v>
      </c>
      <c r="B202" s="14">
        <v>693</v>
      </c>
      <c r="C202" s="10">
        <v>256</v>
      </c>
      <c r="D202" s="11">
        <v>23.6</v>
      </c>
      <c r="E202" s="11">
        <v>610</v>
      </c>
      <c r="F202" s="11">
        <v>14.5</v>
      </c>
      <c r="G202" s="18">
        <v>216.1</v>
      </c>
      <c r="H202" s="15">
        <v>169.7</v>
      </c>
      <c r="I202" s="18">
        <v>170239</v>
      </c>
      <c r="J202" s="11">
        <v>4900</v>
      </c>
      <c r="K202" s="11">
        <v>27.94</v>
      </c>
      <c r="L202" s="11">
        <v>2810</v>
      </c>
      <c r="M202" s="15">
        <v>5621</v>
      </c>
      <c r="N202" s="18">
        <v>6618</v>
      </c>
      <c r="O202" s="11">
        <v>516</v>
      </c>
      <c r="P202" s="11">
        <v>5.54</v>
      </c>
      <c r="Q202" s="11">
        <v>404</v>
      </c>
      <c r="R202" s="15">
        <v>808</v>
      </c>
      <c r="S202" s="18">
        <v>305</v>
      </c>
      <c r="T202" s="11">
        <v>7411590</v>
      </c>
      <c r="U202" s="16"/>
      <c r="V202" s="9"/>
      <c r="W202" s="17"/>
    </row>
    <row r="203" spans="1:23" x14ac:dyDescent="0.25">
      <c r="A203" s="9" t="s">
        <v>37</v>
      </c>
      <c r="B203" s="14">
        <v>688</v>
      </c>
      <c r="C203" s="10">
        <v>254</v>
      </c>
      <c r="D203" s="11">
        <v>21.1</v>
      </c>
      <c r="E203" s="11">
        <v>610</v>
      </c>
      <c r="F203" s="11">
        <v>13.1</v>
      </c>
      <c r="G203" s="18">
        <v>193.5</v>
      </c>
      <c r="H203" s="15">
        <v>151.80000000000001</v>
      </c>
      <c r="I203" s="18">
        <v>150676</v>
      </c>
      <c r="J203" s="11">
        <v>4375</v>
      </c>
      <c r="K203" s="11">
        <v>27.94</v>
      </c>
      <c r="L203" s="11">
        <v>2499</v>
      </c>
      <c r="M203" s="15">
        <v>4998</v>
      </c>
      <c r="N203" s="18">
        <v>5786</v>
      </c>
      <c r="O203" s="11">
        <v>456</v>
      </c>
      <c r="P203" s="11">
        <v>5.46</v>
      </c>
      <c r="Q203" s="11">
        <v>356</v>
      </c>
      <c r="R203" s="15">
        <v>711</v>
      </c>
      <c r="S203" s="18">
        <v>220</v>
      </c>
      <c r="T203" s="11">
        <v>6444861</v>
      </c>
      <c r="U203" s="16"/>
      <c r="V203" s="9"/>
      <c r="W203" s="17"/>
    </row>
    <row r="204" spans="1:23" x14ac:dyDescent="0.25">
      <c r="A204" s="9" t="s">
        <v>37</v>
      </c>
      <c r="B204" s="14">
        <v>684</v>
      </c>
      <c r="C204" s="10">
        <v>254</v>
      </c>
      <c r="D204" s="11">
        <v>18.899999999999999</v>
      </c>
      <c r="E204" s="11">
        <v>610</v>
      </c>
      <c r="F204" s="11">
        <v>12.4</v>
      </c>
      <c r="G204" s="18">
        <v>178.7</v>
      </c>
      <c r="H204" s="15">
        <v>139.9</v>
      </c>
      <c r="I204" s="18">
        <v>136108</v>
      </c>
      <c r="J204" s="11">
        <v>3982</v>
      </c>
      <c r="K204" s="11">
        <v>27.69</v>
      </c>
      <c r="L204" s="11">
        <v>2278</v>
      </c>
      <c r="M204" s="15">
        <v>4556</v>
      </c>
      <c r="N204" s="18">
        <v>5161</v>
      </c>
      <c r="O204" s="11">
        <v>406</v>
      </c>
      <c r="P204" s="11">
        <v>5.38</v>
      </c>
      <c r="Q204" s="11">
        <v>318</v>
      </c>
      <c r="R204" s="15">
        <v>636</v>
      </c>
      <c r="S204" s="18">
        <v>168</v>
      </c>
      <c r="T204" s="11">
        <v>5719814</v>
      </c>
      <c r="U204" s="16"/>
      <c r="V204" s="9"/>
      <c r="W204" s="17"/>
    </row>
    <row r="205" spans="1:23" x14ac:dyDescent="0.25">
      <c r="A205" s="9" t="s">
        <v>37</v>
      </c>
      <c r="B205" s="14">
        <v>678</v>
      </c>
      <c r="C205" s="10">
        <v>253</v>
      </c>
      <c r="D205" s="11">
        <v>16.3</v>
      </c>
      <c r="E205" s="11">
        <v>610</v>
      </c>
      <c r="F205" s="11">
        <v>11.7</v>
      </c>
      <c r="G205" s="18">
        <v>160</v>
      </c>
      <c r="H205" s="15">
        <v>125</v>
      </c>
      <c r="I205" s="18">
        <v>118626</v>
      </c>
      <c r="J205" s="11">
        <v>3490</v>
      </c>
      <c r="K205" s="11">
        <v>27.18</v>
      </c>
      <c r="L205" s="11">
        <v>1999</v>
      </c>
      <c r="M205" s="15">
        <v>3998</v>
      </c>
      <c r="N205" s="18">
        <v>4412</v>
      </c>
      <c r="O205" s="11">
        <v>347</v>
      </c>
      <c r="P205" s="11">
        <v>5.26</v>
      </c>
      <c r="Q205" s="11">
        <v>272</v>
      </c>
      <c r="R205" s="15">
        <v>544</v>
      </c>
      <c r="S205" s="18">
        <v>117</v>
      </c>
      <c r="T205" s="11">
        <v>4806792</v>
      </c>
      <c r="U205" s="16"/>
      <c r="V205" s="9"/>
      <c r="W205" s="17"/>
    </row>
    <row r="206" spans="1:23" x14ac:dyDescent="0.25">
      <c r="A206" s="9" t="s">
        <v>37</v>
      </c>
      <c r="B206" s="14">
        <v>753</v>
      </c>
      <c r="C206" s="10">
        <v>359</v>
      </c>
      <c r="D206" s="11">
        <v>89.9</v>
      </c>
      <c r="E206" s="11">
        <v>533</v>
      </c>
      <c r="F206" s="11">
        <v>50</v>
      </c>
      <c r="G206" s="18">
        <v>929</v>
      </c>
      <c r="H206" s="15">
        <v>732.2</v>
      </c>
      <c r="I206" s="18">
        <v>795002</v>
      </c>
      <c r="J206" s="11">
        <v>21139</v>
      </c>
      <c r="K206" s="11">
        <v>29.21</v>
      </c>
      <c r="L206" s="11">
        <v>12700</v>
      </c>
      <c r="M206" s="15">
        <v>25400</v>
      </c>
      <c r="N206" s="18">
        <v>69511</v>
      </c>
      <c r="O206" s="11">
        <v>3884</v>
      </c>
      <c r="P206" s="11">
        <v>8.66</v>
      </c>
      <c r="Q206" s="11">
        <v>3073</v>
      </c>
      <c r="R206" s="15">
        <v>6145</v>
      </c>
      <c r="S206" s="18">
        <v>18980</v>
      </c>
      <c r="T206" s="11">
        <v>75995650</v>
      </c>
      <c r="U206" s="16"/>
      <c r="V206" s="9"/>
      <c r="W206" s="17"/>
    </row>
    <row r="207" spans="1:23" x14ac:dyDescent="0.25">
      <c r="A207" s="9" t="s">
        <v>37</v>
      </c>
      <c r="B207" s="14">
        <v>725</v>
      </c>
      <c r="C207" s="10">
        <v>351</v>
      </c>
      <c r="D207" s="11">
        <v>75.900000000000006</v>
      </c>
      <c r="E207" s="11">
        <v>533</v>
      </c>
      <c r="F207" s="11">
        <v>41.9</v>
      </c>
      <c r="G207" s="18">
        <v>767.7</v>
      </c>
      <c r="H207" s="15">
        <v>607.20000000000005</v>
      </c>
      <c r="I207" s="18">
        <v>628509</v>
      </c>
      <c r="J207" s="11">
        <v>17370</v>
      </c>
      <c r="K207" s="11">
        <v>28.7</v>
      </c>
      <c r="L207" s="11">
        <v>10242</v>
      </c>
      <c r="M207" s="15">
        <v>20484</v>
      </c>
      <c r="N207" s="18">
        <v>54943</v>
      </c>
      <c r="O207" s="11">
        <v>3130</v>
      </c>
      <c r="P207" s="11">
        <v>8.4600000000000009</v>
      </c>
      <c r="Q207" s="11">
        <v>2458</v>
      </c>
      <c r="R207" s="15">
        <v>4916</v>
      </c>
      <c r="S207" s="18">
        <v>11280</v>
      </c>
      <c r="T207" s="11">
        <v>57466675</v>
      </c>
      <c r="U207" s="16"/>
      <c r="V207" s="9"/>
      <c r="W207" s="17"/>
    </row>
    <row r="208" spans="1:23" x14ac:dyDescent="0.25">
      <c r="A208" s="9" t="s">
        <v>37</v>
      </c>
      <c r="B208" s="14">
        <v>699</v>
      </c>
      <c r="C208" s="10">
        <v>343</v>
      </c>
      <c r="D208" s="11">
        <v>63</v>
      </c>
      <c r="E208" s="11">
        <v>533</v>
      </c>
      <c r="F208" s="11">
        <v>35.1</v>
      </c>
      <c r="G208" s="18">
        <v>634.79999999999995</v>
      </c>
      <c r="H208" s="15">
        <v>498.5</v>
      </c>
      <c r="I208" s="18">
        <v>495315</v>
      </c>
      <c r="J208" s="11">
        <v>14158</v>
      </c>
      <c r="K208" s="11">
        <v>27.94</v>
      </c>
      <c r="L208" s="11">
        <v>8357</v>
      </c>
      <c r="M208" s="15">
        <v>16715</v>
      </c>
      <c r="N208" s="18">
        <v>42872</v>
      </c>
      <c r="O208" s="11">
        <v>2491</v>
      </c>
      <c r="P208" s="11">
        <v>8.1999999999999993</v>
      </c>
      <c r="Q208" s="11">
        <v>1950</v>
      </c>
      <c r="R208" s="15">
        <v>3900</v>
      </c>
      <c r="S208" s="18">
        <v>6410</v>
      </c>
      <c r="T208" s="11">
        <v>42965739</v>
      </c>
      <c r="U208" s="16"/>
      <c r="V208" s="9"/>
      <c r="W208" s="17"/>
    </row>
    <row r="209" spans="1:23" x14ac:dyDescent="0.25">
      <c r="A209" s="9" t="s">
        <v>37</v>
      </c>
      <c r="B209" s="14">
        <v>679</v>
      </c>
      <c r="C209" s="10">
        <v>338</v>
      </c>
      <c r="D209" s="11">
        <v>53.1</v>
      </c>
      <c r="E209" s="11">
        <v>533</v>
      </c>
      <c r="F209" s="11">
        <v>29.5</v>
      </c>
      <c r="G209" s="18">
        <v>529</v>
      </c>
      <c r="H209" s="15">
        <v>415.2</v>
      </c>
      <c r="I209" s="18">
        <v>399582</v>
      </c>
      <c r="J209" s="11">
        <v>11766</v>
      </c>
      <c r="K209" s="11">
        <v>27.43</v>
      </c>
      <c r="L209" s="11">
        <v>6842</v>
      </c>
      <c r="M209" s="15">
        <v>13683</v>
      </c>
      <c r="N209" s="18">
        <v>34256</v>
      </c>
      <c r="O209" s="11">
        <v>2032</v>
      </c>
      <c r="P209" s="11">
        <v>8.0500000000000007</v>
      </c>
      <c r="Q209" s="11">
        <v>1581</v>
      </c>
      <c r="R209" s="15">
        <v>3163</v>
      </c>
      <c r="S209" s="18">
        <v>3817</v>
      </c>
      <c r="T209" s="11">
        <v>33566983</v>
      </c>
      <c r="U209" s="16"/>
      <c r="V209" s="9"/>
      <c r="W209" s="17"/>
    </row>
    <row r="210" spans="1:23" x14ac:dyDescent="0.25">
      <c r="A210" s="9" t="s">
        <v>37</v>
      </c>
      <c r="B210" s="14">
        <v>669</v>
      </c>
      <c r="C210" s="10">
        <v>335</v>
      </c>
      <c r="D210" s="11">
        <v>48</v>
      </c>
      <c r="E210" s="11">
        <v>533</v>
      </c>
      <c r="F210" s="11">
        <v>26.4</v>
      </c>
      <c r="G210" s="18">
        <v>474.2</v>
      </c>
      <c r="H210" s="15">
        <v>372</v>
      </c>
      <c r="I210" s="18">
        <v>353380</v>
      </c>
      <c r="J210" s="11">
        <v>10553</v>
      </c>
      <c r="K210" s="11">
        <v>27.18</v>
      </c>
      <c r="L210" s="11">
        <v>6096</v>
      </c>
      <c r="M210" s="15">
        <v>12192</v>
      </c>
      <c r="N210" s="18">
        <v>30135</v>
      </c>
      <c r="O210" s="11">
        <v>1803</v>
      </c>
      <c r="P210" s="11">
        <v>7.98</v>
      </c>
      <c r="Q210" s="11">
        <v>1401</v>
      </c>
      <c r="R210" s="15">
        <v>2802</v>
      </c>
      <c r="S210" s="18">
        <v>2801</v>
      </c>
      <c r="T210" s="11">
        <v>29001874</v>
      </c>
      <c r="U210" s="16"/>
      <c r="V210" s="9"/>
      <c r="W210" s="17"/>
    </row>
    <row r="211" spans="1:23" x14ac:dyDescent="0.25">
      <c r="A211" s="9" t="s">
        <v>37</v>
      </c>
      <c r="B211" s="14">
        <v>661</v>
      </c>
      <c r="C211" s="10">
        <v>333</v>
      </c>
      <c r="D211" s="11">
        <v>43.9</v>
      </c>
      <c r="E211" s="11">
        <v>533</v>
      </c>
      <c r="F211" s="11">
        <v>24.4</v>
      </c>
      <c r="G211" s="18">
        <v>433.5</v>
      </c>
      <c r="H211" s="15">
        <v>340.8</v>
      </c>
      <c r="I211" s="18">
        <v>318417</v>
      </c>
      <c r="J211" s="11">
        <v>9636</v>
      </c>
      <c r="K211" s="11">
        <v>27.18</v>
      </c>
      <c r="L211" s="11">
        <v>5539</v>
      </c>
      <c r="M211" s="15">
        <v>11078</v>
      </c>
      <c r="N211" s="18">
        <v>27097</v>
      </c>
      <c r="O211" s="11">
        <v>1629</v>
      </c>
      <c r="P211" s="11">
        <v>7.9</v>
      </c>
      <c r="Q211" s="11">
        <v>1262</v>
      </c>
      <c r="R211" s="15">
        <v>2524</v>
      </c>
      <c r="S211" s="18">
        <v>2156</v>
      </c>
      <c r="T211" s="11">
        <v>25725736</v>
      </c>
      <c r="U211" s="16"/>
      <c r="V211" s="9"/>
      <c r="W211" s="17"/>
    </row>
    <row r="212" spans="1:23" x14ac:dyDescent="0.25">
      <c r="A212" s="9" t="s">
        <v>37</v>
      </c>
      <c r="B212" s="14">
        <v>653</v>
      </c>
      <c r="C212" s="10">
        <v>330</v>
      </c>
      <c r="D212" s="11">
        <v>39.9</v>
      </c>
      <c r="E212" s="11">
        <v>533</v>
      </c>
      <c r="F212" s="11">
        <v>22.1</v>
      </c>
      <c r="G212" s="18">
        <v>391.6</v>
      </c>
      <c r="H212" s="15">
        <v>308</v>
      </c>
      <c r="I212" s="18">
        <v>283870</v>
      </c>
      <c r="J212" s="11">
        <v>8702</v>
      </c>
      <c r="K212" s="11">
        <v>26.92</v>
      </c>
      <c r="L212" s="11">
        <v>4965</v>
      </c>
      <c r="M212" s="15">
        <v>9931</v>
      </c>
      <c r="N212" s="18">
        <v>24058</v>
      </c>
      <c r="O212" s="11">
        <v>1455</v>
      </c>
      <c r="P212" s="11">
        <v>7.82</v>
      </c>
      <c r="Q212" s="11">
        <v>1123</v>
      </c>
      <c r="R212" s="15">
        <v>2245</v>
      </c>
      <c r="S212" s="18">
        <v>1607</v>
      </c>
      <c r="T212" s="11">
        <v>22530159</v>
      </c>
      <c r="U212" s="16"/>
      <c r="V212" s="9"/>
      <c r="W212" s="17"/>
    </row>
    <row r="213" spans="1:23" x14ac:dyDescent="0.25">
      <c r="A213" s="9" t="s">
        <v>37</v>
      </c>
      <c r="B213" s="14">
        <v>647</v>
      </c>
      <c r="C213" s="10">
        <v>329</v>
      </c>
      <c r="D213" s="11">
        <v>37.1</v>
      </c>
      <c r="E213" s="11">
        <v>533</v>
      </c>
      <c r="F213" s="11">
        <v>20.6</v>
      </c>
      <c r="G213" s="18">
        <v>363.2</v>
      </c>
      <c r="H213" s="15">
        <v>285.7</v>
      </c>
      <c r="I213" s="18">
        <v>260561</v>
      </c>
      <c r="J213" s="11">
        <v>8046</v>
      </c>
      <c r="K213" s="11">
        <v>26.67</v>
      </c>
      <c r="L213" s="11">
        <v>4580</v>
      </c>
      <c r="M213" s="15">
        <v>9160</v>
      </c>
      <c r="N213" s="18">
        <v>22060</v>
      </c>
      <c r="O213" s="11">
        <v>1340</v>
      </c>
      <c r="P213" s="11">
        <v>7.8</v>
      </c>
      <c r="Q213" s="11">
        <v>1032</v>
      </c>
      <c r="R213" s="15">
        <v>2065</v>
      </c>
      <c r="S213" s="18">
        <v>1290</v>
      </c>
      <c r="T213" s="11">
        <v>20462433</v>
      </c>
      <c r="U213" s="16"/>
      <c r="V213" s="9"/>
      <c r="W213" s="17"/>
    </row>
    <row r="214" spans="1:23" x14ac:dyDescent="0.25">
      <c r="A214" s="9" t="s">
        <v>37</v>
      </c>
      <c r="B214" s="14">
        <v>641</v>
      </c>
      <c r="C214" s="10">
        <v>327</v>
      </c>
      <c r="D214" s="11">
        <v>34</v>
      </c>
      <c r="E214" s="11">
        <v>533</v>
      </c>
      <c r="F214" s="11">
        <v>19.100000000000001</v>
      </c>
      <c r="G214" s="18">
        <v>333.5</v>
      </c>
      <c r="H214" s="15">
        <v>261.89999999999998</v>
      </c>
      <c r="I214" s="18">
        <v>236419</v>
      </c>
      <c r="J214" s="11">
        <v>7374</v>
      </c>
      <c r="K214" s="11">
        <v>26.67</v>
      </c>
      <c r="L214" s="11">
        <v>4187</v>
      </c>
      <c r="M214" s="15">
        <v>8374</v>
      </c>
      <c r="N214" s="18">
        <v>19937</v>
      </c>
      <c r="O214" s="11">
        <v>1218</v>
      </c>
      <c r="P214" s="11">
        <v>7.72</v>
      </c>
      <c r="Q214" s="11">
        <v>942</v>
      </c>
      <c r="R214" s="15">
        <v>1885</v>
      </c>
      <c r="S214" s="18">
        <v>1003</v>
      </c>
      <c r="T214" s="11">
        <v>18367853</v>
      </c>
      <c r="U214" s="16"/>
      <c r="V214" s="9"/>
      <c r="W214" s="17"/>
    </row>
    <row r="215" spans="1:23" x14ac:dyDescent="0.25">
      <c r="A215" s="9" t="s">
        <v>37</v>
      </c>
      <c r="B215" s="14">
        <v>635</v>
      </c>
      <c r="C215" s="10">
        <v>329</v>
      </c>
      <c r="D215" s="11">
        <v>31</v>
      </c>
      <c r="E215" s="11">
        <v>533</v>
      </c>
      <c r="F215" s="11">
        <v>17.899999999999999</v>
      </c>
      <c r="G215" s="18">
        <v>307.7</v>
      </c>
      <c r="H215" s="15">
        <v>241</v>
      </c>
      <c r="I215" s="18">
        <v>215192</v>
      </c>
      <c r="J215" s="11">
        <v>6784</v>
      </c>
      <c r="K215" s="11">
        <v>26.42</v>
      </c>
      <c r="L215" s="11">
        <v>3835</v>
      </c>
      <c r="M215" s="15">
        <v>7669</v>
      </c>
      <c r="N215" s="18">
        <v>18439</v>
      </c>
      <c r="O215" s="11">
        <v>1121</v>
      </c>
      <c r="P215" s="11">
        <v>7.75</v>
      </c>
      <c r="Q215" s="11">
        <v>860</v>
      </c>
      <c r="R215" s="15">
        <v>1721</v>
      </c>
      <c r="S215" s="18">
        <v>770</v>
      </c>
      <c r="T215" s="11">
        <v>16810345</v>
      </c>
      <c r="U215" s="16"/>
      <c r="V215" s="9"/>
      <c r="W215" s="17"/>
    </row>
    <row r="216" spans="1:23" x14ac:dyDescent="0.25">
      <c r="A216" s="9" t="s">
        <v>37</v>
      </c>
      <c r="B216" s="14">
        <v>628</v>
      </c>
      <c r="C216" s="10">
        <v>328</v>
      </c>
      <c r="D216" s="11">
        <v>27.7</v>
      </c>
      <c r="E216" s="11">
        <v>533</v>
      </c>
      <c r="F216" s="11">
        <v>16.5</v>
      </c>
      <c r="G216" s="18">
        <v>277.39999999999998</v>
      </c>
      <c r="H216" s="15">
        <v>217</v>
      </c>
      <c r="I216" s="18">
        <v>190634</v>
      </c>
      <c r="J216" s="11">
        <v>6080</v>
      </c>
      <c r="K216" s="11">
        <v>26.16</v>
      </c>
      <c r="L216" s="11">
        <v>3425</v>
      </c>
      <c r="M216" s="15">
        <v>6850</v>
      </c>
      <c r="N216" s="18">
        <v>16275</v>
      </c>
      <c r="O216" s="11">
        <v>991</v>
      </c>
      <c r="P216" s="11">
        <v>7.65</v>
      </c>
      <c r="Q216" s="11">
        <v>764</v>
      </c>
      <c r="R216" s="15">
        <v>1527</v>
      </c>
      <c r="S216" s="18">
        <v>558</v>
      </c>
      <c r="T216" s="11">
        <v>14662058</v>
      </c>
      <c r="U216" s="16"/>
      <c r="V216" s="9"/>
      <c r="W216" s="17"/>
    </row>
    <row r="217" spans="1:23" x14ac:dyDescent="0.25">
      <c r="A217" s="9" t="s">
        <v>37</v>
      </c>
      <c r="B217" s="14">
        <v>622</v>
      </c>
      <c r="C217" s="10">
        <v>327</v>
      </c>
      <c r="D217" s="11">
        <v>24.4</v>
      </c>
      <c r="E217" s="11">
        <v>533</v>
      </c>
      <c r="F217" s="11">
        <v>15.4</v>
      </c>
      <c r="G217" s="18">
        <v>248.4</v>
      </c>
      <c r="H217" s="15">
        <v>194.9</v>
      </c>
      <c r="I217" s="18">
        <v>167325</v>
      </c>
      <c r="J217" s="11">
        <v>5391</v>
      </c>
      <c r="K217" s="11">
        <v>25.91</v>
      </c>
      <c r="L217" s="11">
        <v>3032</v>
      </c>
      <c r="M217" s="15">
        <v>6063</v>
      </c>
      <c r="N217" s="18">
        <v>14152</v>
      </c>
      <c r="O217" s="11">
        <v>869</v>
      </c>
      <c r="P217" s="11">
        <v>7.54</v>
      </c>
      <c r="Q217" s="11">
        <v>668</v>
      </c>
      <c r="R217" s="15">
        <v>1336</v>
      </c>
      <c r="S217" s="18">
        <v>395</v>
      </c>
      <c r="T217" s="11">
        <v>12648039</v>
      </c>
      <c r="U217" s="16"/>
      <c r="V217" s="9"/>
      <c r="W217" s="17"/>
    </row>
    <row r="218" spans="1:23" x14ac:dyDescent="0.25">
      <c r="A218" s="9" t="s">
        <v>37</v>
      </c>
      <c r="B218" s="14">
        <v>616</v>
      </c>
      <c r="C218" s="10">
        <v>325</v>
      </c>
      <c r="D218" s="11">
        <v>21.6</v>
      </c>
      <c r="E218" s="11">
        <v>533</v>
      </c>
      <c r="F218" s="11">
        <v>14</v>
      </c>
      <c r="G218" s="18">
        <v>221.9</v>
      </c>
      <c r="H218" s="15">
        <v>174.1</v>
      </c>
      <c r="I218" s="18">
        <v>147346</v>
      </c>
      <c r="J218" s="11">
        <v>4769</v>
      </c>
      <c r="K218" s="11">
        <v>25.65</v>
      </c>
      <c r="L218" s="11">
        <v>2679</v>
      </c>
      <c r="M218" s="15">
        <v>5359</v>
      </c>
      <c r="N218" s="18">
        <v>12362</v>
      </c>
      <c r="O218" s="11">
        <v>762</v>
      </c>
      <c r="P218" s="11">
        <v>7.47</v>
      </c>
      <c r="Q218" s="11">
        <v>585</v>
      </c>
      <c r="R218" s="15">
        <v>1170</v>
      </c>
      <c r="S218" s="18">
        <v>280</v>
      </c>
      <c r="T218" s="11">
        <v>10956263</v>
      </c>
      <c r="U218" s="16"/>
      <c r="V218" s="9"/>
      <c r="W218" s="17"/>
    </row>
    <row r="219" spans="1:23" x14ac:dyDescent="0.25">
      <c r="A219" s="9" t="s">
        <v>37</v>
      </c>
      <c r="B219" s="14">
        <v>611</v>
      </c>
      <c r="C219" s="10">
        <v>324</v>
      </c>
      <c r="D219" s="11">
        <v>19.100000000000001</v>
      </c>
      <c r="E219" s="11">
        <v>533</v>
      </c>
      <c r="F219" s="11">
        <v>12.7</v>
      </c>
      <c r="G219" s="18">
        <v>197.4</v>
      </c>
      <c r="H219" s="15">
        <v>154.80000000000001</v>
      </c>
      <c r="I219" s="18">
        <v>129032</v>
      </c>
      <c r="J219" s="11">
        <v>4228</v>
      </c>
      <c r="K219" s="11">
        <v>25.65</v>
      </c>
      <c r="L219" s="11">
        <v>2368</v>
      </c>
      <c r="M219" s="15">
        <v>4736</v>
      </c>
      <c r="N219" s="18">
        <v>10780</v>
      </c>
      <c r="O219" s="11">
        <v>667</v>
      </c>
      <c r="P219" s="11">
        <v>7.39</v>
      </c>
      <c r="Q219" s="11">
        <v>511</v>
      </c>
      <c r="R219" s="15">
        <v>1023</v>
      </c>
      <c r="S219" s="18">
        <v>196</v>
      </c>
      <c r="T219" s="11">
        <v>9452463</v>
      </c>
      <c r="U219" s="16"/>
      <c r="V219" s="9"/>
      <c r="W219" s="17"/>
    </row>
    <row r="220" spans="1:23" x14ac:dyDescent="0.25">
      <c r="A220" s="9" t="s">
        <v>37</v>
      </c>
      <c r="B220" s="14">
        <v>623</v>
      </c>
      <c r="C220" s="10">
        <v>229</v>
      </c>
      <c r="D220" s="11">
        <v>24.9</v>
      </c>
      <c r="E220" s="11">
        <v>533</v>
      </c>
      <c r="F220" s="11">
        <v>14</v>
      </c>
      <c r="G220" s="18">
        <v>195.5</v>
      </c>
      <c r="H220" s="15">
        <v>153.30000000000001</v>
      </c>
      <c r="I220" s="18">
        <v>124869</v>
      </c>
      <c r="J220" s="11">
        <v>4015</v>
      </c>
      <c r="K220" s="11">
        <v>25.3</v>
      </c>
      <c r="L220" s="11">
        <v>2294</v>
      </c>
      <c r="M220" s="15">
        <v>4588</v>
      </c>
      <c r="N220" s="18">
        <v>4953</v>
      </c>
      <c r="O220" s="11">
        <v>434</v>
      </c>
      <c r="P220" s="11">
        <v>5.05</v>
      </c>
      <c r="Q220" s="11">
        <v>340</v>
      </c>
      <c r="R220" s="15">
        <v>680</v>
      </c>
      <c r="S220" s="18">
        <v>296</v>
      </c>
      <c r="T220" s="11">
        <v>4457695</v>
      </c>
      <c r="U220" s="16"/>
      <c r="V220" s="9"/>
      <c r="W220" s="17"/>
    </row>
    <row r="221" spans="1:23" x14ac:dyDescent="0.25">
      <c r="A221" s="9" t="s">
        <v>37</v>
      </c>
      <c r="B221" s="14">
        <v>617</v>
      </c>
      <c r="C221" s="10">
        <v>230</v>
      </c>
      <c r="D221" s="11">
        <v>22.2</v>
      </c>
      <c r="E221" s="11">
        <v>533</v>
      </c>
      <c r="F221" s="11">
        <v>13.1</v>
      </c>
      <c r="G221" s="18">
        <v>178.7</v>
      </c>
      <c r="H221" s="15">
        <v>139.9</v>
      </c>
      <c r="I221" s="18">
        <v>112382</v>
      </c>
      <c r="J221" s="11">
        <v>3638</v>
      </c>
      <c r="K221" s="11">
        <v>25.07</v>
      </c>
      <c r="L221" s="11">
        <v>2081</v>
      </c>
      <c r="M221" s="15">
        <v>4162</v>
      </c>
      <c r="N221" s="18">
        <v>4537</v>
      </c>
      <c r="O221" s="11">
        <v>393</v>
      </c>
      <c r="P221" s="11">
        <v>5.03</v>
      </c>
      <c r="Q221" s="11">
        <v>307</v>
      </c>
      <c r="R221" s="15">
        <v>615</v>
      </c>
      <c r="S221" s="18">
        <v>219</v>
      </c>
      <c r="T221" s="11">
        <v>4028038</v>
      </c>
      <c r="U221" s="16"/>
      <c r="V221" s="9"/>
      <c r="W221" s="17"/>
    </row>
    <row r="222" spans="1:23" x14ac:dyDescent="0.25">
      <c r="A222" s="9" t="s">
        <v>37</v>
      </c>
      <c r="B222" s="14">
        <v>612</v>
      </c>
      <c r="C222" s="10">
        <v>229</v>
      </c>
      <c r="D222" s="11">
        <v>19.600000000000001</v>
      </c>
      <c r="E222" s="11">
        <v>533</v>
      </c>
      <c r="F222" s="11">
        <v>11.9</v>
      </c>
      <c r="G222" s="18">
        <v>159.4</v>
      </c>
      <c r="H222" s="15">
        <v>125</v>
      </c>
      <c r="I222" s="18">
        <v>98647</v>
      </c>
      <c r="J222" s="11">
        <v>3212</v>
      </c>
      <c r="K222" s="11">
        <v>24.87</v>
      </c>
      <c r="L222" s="11">
        <v>1835</v>
      </c>
      <c r="M222" s="15">
        <v>3671</v>
      </c>
      <c r="N222" s="18">
        <v>3929</v>
      </c>
      <c r="O222" s="11">
        <v>342</v>
      </c>
      <c r="P222" s="11">
        <v>4.95</v>
      </c>
      <c r="Q222" s="11">
        <v>267</v>
      </c>
      <c r="R222" s="15">
        <v>534</v>
      </c>
      <c r="S222" s="18">
        <v>154</v>
      </c>
      <c r="T222" s="11">
        <v>3437259</v>
      </c>
      <c r="U222" s="16"/>
      <c r="V222" s="9"/>
      <c r="W222" s="17"/>
    </row>
    <row r="223" spans="1:23" x14ac:dyDescent="0.25">
      <c r="A223" s="9" t="s">
        <v>37</v>
      </c>
      <c r="B223" s="14">
        <v>608</v>
      </c>
      <c r="C223" s="10">
        <v>228</v>
      </c>
      <c r="D223" s="11">
        <v>17.3</v>
      </c>
      <c r="E223" s="11">
        <v>533</v>
      </c>
      <c r="F223" s="11">
        <v>11.2</v>
      </c>
      <c r="G223" s="18">
        <v>144.5</v>
      </c>
      <c r="H223" s="15">
        <v>113.1</v>
      </c>
      <c r="I223" s="18">
        <v>87409</v>
      </c>
      <c r="J223" s="11">
        <v>2884</v>
      </c>
      <c r="K223" s="11">
        <v>24.61</v>
      </c>
      <c r="L223" s="11">
        <v>1639</v>
      </c>
      <c r="M223" s="15">
        <v>3277</v>
      </c>
      <c r="N223" s="18">
        <v>3434</v>
      </c>
      <c r="O223" s="11">
        <v>302</v>
      </c>
      <c r="P223" s="11">
        <v>4.88</v>
      </c>
      <c r="Q223" s="11">
        <v>234</v>
      </c>
      <c r="R223" s="15">
        <v>469</v>
      </c>
      <c r="S223" s="18">
        <v>112</v>
      </c>
      <c r="T223" s="11">
        <v>2980748</v>
      </c>
      <c r="U223" s="16"/>
      <c r="V223" s="9"/>
      <c r="W223" s="17"/>
    </row>
    <row r="224" spans="1:23" x14ac:dyDescent="0.25">
      <c r="A224" s="9" t="s">
        <v>37</v>
      </c>
      <c r="B224" s="14">
        <v>603</v>
      </c>
      <c r="C224" s="10">
        <v>228</v>
      </c>
      <c r="D224" s="11">
        <v>14.9</v>
      </c>
      <c r="E224" s="11">
        <v>533</v>
      </c>
      <c r="F224" s="11">
        <v>10.5</v>
      </c>
      <c r="G224" s="18">
        <v>129.69999999999999</v>
      </c>
      <c r="H224" s="15">
        <v>101.2</v>
      </c>
      <c r="I224" s="18">
        <v>76170</v>
      </c>
      <c r="J224" s="11">
        <v>2524</v>
      </c>
      <c r="K224" s="11">
        <v>24.26</v>
      </c>
      <c r="L224" s="11">
        <v>1450</v>
      </c>
      <c r="M224" s="15">
        <v>2901</v>
      </c>
      <c r="N224" s="18">
        <v>2930</v>
      </c>
      <c r="O224" s="11">
        <v>257</v>
      </c>
      <c r="P224" s="11">
        <v>4.75</v>
      </c>
      <c r="Q224" s="11">
        <v>201</v>
      </c>
      <c r="R224" s="15">
        <v>401</v>
      </c>
      <c r="S224" s="18">
        <v>77.8</v>
      </c>
      <c r="T224" s="11">
        <v>2532293</v>
      </c>
      <c r="U224" s="16"/>
      <c r="V224" s="9"/>
      <c r="W224" s="17"/>
    </row>
    <row r="225" spans="1:23" x14ac:dyDescent="0.25">
      <c r="A225" s="9" t="s">
        <v>37</v>
      </c>
      <c r="B225" s="14">
        <v>603</v>
      </c>
      <c r="C225" s="10">
        <v>179</v>
      </c>
      <c r="D225" s="11">
        <v>15</v>
      </c>
      <c r="E225" s="11">
        <v>533</v>
      </c>
      <c r="F225" s="11">
        <v>10.9</v>
      </c>
      <c r="G225" s="18">
        <v>117.4</v>
      </c>
      <c r="H225" s="15">
        <v>92.3</v>
      </c>
      <c r="I225" s="18">
        <v>64516</v>
      </c>
      <c r="J225" s="11">
        <v>2147</v>
      </c>
      <c r="K225" s="11">
        <v>23.44</v>
      </c>
      <c r="L225" s="11">
        <v>1254</v>
      </c>
      <c r="M225" s="15">
        <v>2507</v>
      </c>
      <c r="N225" s="18">
        <v>1436</v>
      </c>
      <c r="O225" s="11">
        <v>161</v>
      </c>
      <c r="P225" s="11">
        <v>3.51</v>
      </c>
      <c r="Q225" s="11">
        <v>129</v>
      </c>
      <c r="R225" s="15">
        <v>257</v>
      </c>
      <c r="S225" s="18">
        <v>71.2</v>
      </c>
      <c r="T225" s="11">
        <v>1240636</v>
      </c>
      <c r="U225" s="16"/>
      <c r="V225" s="9"/>
      <c r="W225" s="17"/>
    </row>
    <row r="226" spans="1:23" x14ac:dyDescent="0.25">
      <c r="A226" s="9" t="s">
        <v>37</v>
      </c>
      <c r="B226" s="14">
        <v>599</v>
      </c>
      <c r="C226" s="10">
        <v>178</v>
      </c>
      <c r="D226" s="11">
        <v>12.8</v>
      </c>
      <c r="E226" s="11">
        <v>533</v>
      </c>
      <c r="F226" s="11">
        <v>10</v>
      </c>
      <c r="G226" s="18">
        <v>104.5</v>
      </c>
      <c r="H226" s="15">
        <v>81.8</v>
      </c>
      <c r="I226" s="18">
        <v>56191</v>
      </c>
      <c r="J226" s="11">
        <v>1868</v>
      </c>
      <c r="K226" s="11">
        <v>23.14</v>
      </c>
      <c r="L226" s="11">
        <v>1098</v>
      </c>
      <c r="M226" s="15">
        <v>2196</v>
      </c>
      <c r="N226" s="18">
        <v>1211</v>
      </c>
      <c r="O226" s="11">
        <v>136</v>
      </c>
      <c r="P226" s="11">
        <v>3.4</v>
      </c>
      <c r="Q226" s="11">
        <v>109</v>
      </c>
      <c r="R226" s="15">
        <v>218</v>
      </c>
      <c r="S226" s="18">
        <v>49.1</v>
      </c>
      <c r="T226" s="11">
        <v>1039234</v>
      </c>
      <c r="U226" s="16"/>
      <c r="V226" s="9"/>
      <c r="W226" s="17"/>
    </row>
    <row r="227" spans="1:23" x14ac:dyDescent="0.25">
      <c r="A227" s="9" t="s">
        <v>37</v>
      </c>
      <c r="B227" s="14">
        <v>585</v>
      </c>
      <c r="C227" s="10">
        <v>319</v>
      </c>
      <c r="D227" s="11">
        <v>41.4</v>
      </c>
      <c r="E227" s="11">
        <v>464</v>
      </c>
      <c r="F227" s="11">
        <v>23.1</v>
      </c>
      <c r="G227" s="18">
        <v>381.9</v>
      </c>
      <c r="H227" s="15">
        <v>299.10000000000002</v>
      </c>
      <c r="I227" s="18">
        <v>221019</v>
      </c>
      <c r="J227" s="11">
        <v>7554</v>
      </c>
      <c r="K227" s="11">
        <v>24.05</v>
      </c>
      <c r="L227" s="11">
        <v>4343</v>
      </c>
      <c r="M227" s="15">
        <v>8685</v>
      </c>
      <c r="N227" s="18">
        <v>22560</v>
      </c>
      <c r="O227" s="11">
        <v>1411</v>
      </c>
      <c r="P227" s="11">
        <v>7.67</v>
      </c>
      <c r="Q227" s="11">
        <v>1090</v>
      </c>
      <c r="R227" s="15">
        <v>2179</v>
      </c>
      <c r="S227" s="18">
        <v>1719</v>
      </c>
      <c r="T227" s="11">
        <v>16595517</v>
      </c>
      <c r="U227" s="16"/>
      <c r="V227" s="9"/>
      <c r="W227" s="17"/>
    </row>
    <row r="228" spans="1:23" x14ac:dyDescent="0.25">
      <c r="A228" s="9" t="s">
        <v>37</v>
      </c>
      <c r="B228" s="14">
        <v>577</v>
      </c>
      <c r="C228" s="10">
        <v>318</v>
      </c>
      <c r="D228" s="11">
        <v>37.6</v>
      </c>
      <c r="E228" s="11">
        <v>464</v>
      </c>
      <c r="F228" s="11">
        <v>21.1</v>
      </c>
      <c r="G228" s="18">
        <v>345.8</v>
      </c>
      <c r="H228" s="15">
        <v>270.8</v>
      </c>
      <c r="I228" s="18">
        <v>196877</v>
      </c>
      <c r="J228" s="11">
        <v>6833</v>
      </c>
      <c r="K228" s="11">
        <v>23.88</v>
      </c>
      <c r="L228" s="11">
        <v>3900</v>
      </c>
      <c r="M228" s="15">
        <v>7800</v>
      </c>
      <c r="N228" s="18">
        <v>20104</v>
      </c>
      <c r="O228" s="11">
        <v>1265</v>
      </c>
      <c r="P228" s="11">
        <v>7.62</v>
      </c>
      <c r="Q228" s="11">
        <v>975</v>
      </c>
      <c r="R228" s="15">
        <v>1950</v>
      </c>
      <c r="S228" s="18">
        <v>1294</v>
      </c>
      <c r="T228" s="11">
        <v>14581498</v>
      </c>
      <c r="U228" s="16"/>
      <c r="V228" s="9"/>
      <c r="W228" s="17"/>
    </row>
    <row r="229" spans="1:23" x14ac:dyDescent="0.25">
      <c r="A229" s="9" t="s">
        <v>37</v>
      </c>
      <c r="B229" s="14">
        <v>571</v>
      </c>
      <c r="C229" s="10">
        <v>315</v>
      </c>
      <c r="D229" s="11">
        <v>34.5</v>
      </c>
      <c r="E229" s="11">
        <v>464</v>
      </c>
      <c r="F229" s="11">
        <v>19.100000000000001</v>
      </c>
      <c r="G229" s="18">
        <v>314.8</v>
      </c>
      <c r="H229" s="15">
        <v>247</v>
      </c>
      <c r="I229" s="18">
        <v>178147</v>
      </c>
      <c r="J229" s="11">
        <v>6227</v>
      </c>
      <c r="K229" s="11">
        <v>23.77</v>
      </c>
      <c r="L229" s="11">
        <v>3540</v>
      </c>
      <c r="M229" s="15">
        <v>7079</v>
      </c>
      <c r="N229" s="18">
        <v>18106</v>
      </c>
      <c r="O229" s="11">
        <v>1149</v>
      </c>
      <c r="P229" s="11">
        <v>7.57</v>
      </c>
      <c r="Q229" s="11">
        <v>885</v>
      </c>
      <c r="R229" s="15">
        <v>1770</v>
      </c>
      <c r="S229" s="18">
        <v>995</v>
      </c>
      <c r="T229" s="11">
        <v>13023990</v>
      </c>
      <c r="U229" s="16"/>
      <c r="V229" s="9"/>
      <c r="W229" s="17"/>
    </row>
    <row r="230" spans="1:23" x14ac:dyDescent="0.25">
      <c r="A230" s="9" t="s">
        <v>37</v>
      </c>
      <c r="B230" s="14">
        <v>560</v>
      </c>
      <c r="C230" s="10">
        <v>318</v>
      </c>
      <c r="D230" s="11">
        <v>29.2</v>
      </c>
      <c r="E230" s="11">
        <v>464</v>
      </c>
      <c r="F230" s="11">
        <v>18.3</v>
      </c>
      <c r="G230" s="18">
        <v>278.7</v>
      </c>
      <c r="H230" s="15">
        <v>218.8</v>
      </c>
      <c r="I230" s="18">
        <v>151092</v>
      </c>
      <c r="J230" s="11">
        <v>5391</v>
      </c>
      <c r="K230" s="11">
        <v>23.29</v>
      </c>
      <c r="L230" s="11">
        <v>3056</v>
      </c>
      <c r="M230" s="15">
        <v>6112</v>
      </c>
      <c r="N230" s="18">
        <v>15650</v>
      </c>
      <c r="O230" s="11">
        <v>985</v>
      </c>
      <c r="P230" s="11">
        <v>7.49</v>
      </c>
      <c r="Q230" s="11">
        <v>759</v>
      </c>
      <c r="R230" s="15">
        <v>1517</v>
      </c>
      <c r="S230" s="18">
        <v>641</v>
      </c>
      <c r="T230" s="11">
        <v>11036824</v>
      </c>
      <c r="U230" s="16"/>
      <c r="V230" s="9"/>
      <c r="W230" s="17"/>
    </row>
    <row r="231" spans="1:23" x14ac:dyDescent="0.25">
      <c r="A231" s="9" t="s">
        <v>37</v>
      </c>
      <c r="B231" s="14">
        <v>554</v>
      </c>
      <c r="C231" s="10">
        <v>316</v>
      </c>
      <c r="D231" s="11">
        <v>26.3</v>
      </c>
      <c r="E231" s="11">
        <v>464</v>
      </c>
      <c r="F231" s="11">
        <v>16.5</v>
      </c>
      <c r="G231" s="18">
        <v>250.3</v>
      </c>
      <c r="H231" s="15">
        <v>196.4</v>
      </c>
      <c r="I231" s="18">
        <v>134027</v>
      </c>
      <c r="J231" s="11">
        <v>4834</v>
      </c>
      <c r="K231" s="11">
        <v>23.16</v>
      </c>
      <c r="L231" s="11">
        <v>2728</v>
      </c>
      <c r="M231" s="15">
        <v>5457</v>
      </c>
      <c r="N231" s="18">
        <v>13861</v>
      </c>
      <c r="O231" s="11">
        <v>877</v>
      </c>
      <c r="P231" s="11">
        <v>7.44</v>
      </c>
      <c r="Q231" s="11">
        <v>674</v>
      </c>
      <c r="R231" s="15">
        <v>1349</v>
      </c>
      <c r="S231" s="18">
        <v>470</v>
      </c>
      <c r="T231" s="11">
        <v>9667291</v>
      </c>
      <c r="U231" s="16"/>
      <c r="V231" s="9"/>
      <c r="W231" s="17"/>
    </row>
    <row r="232" spans="1:23" x14ac:dyDescent="0.25">
      <c r="A232" s="9" t="s">
        <v>37</v>
      </c>
      <c r="B232" s="14">
        <v>551</v>
      </c>
      <c r="C232" s="10">
        <v>315</v>
      </c>
      <c r="D232" s="11">
        <v>24.4</v>
      </c>
      <c r="E232" s="11">
        <v>464</v>
      </c>
      <c r="F232" s="11">
        <v>15.2</v>
      </c>
      <c r="G232" s="18">
        <v>231.6</v>
      </c>
      <c r="H232" s="15">
        <v>181.6</v>
      </c>
      <c r="I232" s="18">
        <v>123205</v>
      </c>
      <c r="J232" s="11">
        <v>4474</v>
      </c>
      <c r="K232" s="11">
        <v>23.09</v>
      </c>
      <c r="L232" s="11">
        <v>2515</v>
      </c>
      <c r="M232" s="15">
        <v>5031</v>
      </c>
      <c r="N232" s="18">
        <v>12695</v>
      </c>
      <c r="O232" s="11">
        <v>806</v>
      </c>
      <c r="P232" s="11">
        <v>7.42</v>
      </c>
      <c r="Q232" s="11">
        <v>619</v>
      </c>
      <c r="R232" s="15">
        <v>1239</v>
      </c>
      <c r="S232" s="18">
        <v>374</v>
      </c>
      <c r="T232" s="11">
        <v>8781123</v>
      </c>
      <c r="U232" s="16"/>
      <c r="V232" s="9"/>
      <c r="W232" s="17"/>
    </row>
    <row r="233" spans="1:23" x14ac:dyDescent="0.25">
      <c r="A233" s="9" t="s">
        <v>37</v>
      </c>
      <c r="B233" s="14">
        <v>546</v>
      </c>
      <c r="C233" s="10">
        <v>313</v>
      </c>
      <c r="D233" s="11">
        <v>22.2</v>
      </c>
      <c r="E233" s="11">
        <v>464</v>
      </c>
      <c r="F233" s="11">
        <v>14</v>
      </c>
      <c r="G233" s="18">
        <v>211</v>
      </c>
      <c r="H233" s="15">
        <v>165.2</v>
      </c>
      <c r="I233" s="18">
        <v>111134</v>
      </c>
      <c r="J233" s="11">
        <v>4080</v>
      </c>
      <c r="K233" s="11">
        <v>22.99</v>
      </c>
      <c r="L233" s="11">
        <v>2286</v>
      </c>
      <c r="M233" s="15">
        <v>4572</v>
      </c>
      <c r="N233" s="18">
        <v>11405</v>
      </c>
      <c r="O233" s="11">
        <v>729</v>
      </c>
      <c r="P233" s="11">
        <v>7.37</v>
      </c>
      <c r="Q233" s="11">
        <v>559</v>
      </c>
      <c r="R233" s="15">
        <v>1118</v>
      </c>
      <c r="S233" s="18">
        <v>284</v>
      </c>
      <c r="T233" s="11">
        <v>7841247</v>
      </c>
      <c r="U233" s="16"/>
      <c r="V233" s="9"/>
      <c r="W233" s="17"/>
    </row>
    <row r="234" spans="1:23" x14ac:dyDescent="0.25">
      <c r="A234" s="9" t="s">
        <v>37</v>
      </c>
      <c r="B234" s="14">
        <v>543</v>
      </c>
      <c r="C234" s="10">
        <v>312</v>
      </c>
      <c r="D234" s="11">
        <v>20.3</v>
      </c>
      <c r="E234" s="11">
        <v>464</v>
      </c>
      <c r="F234" s="11">
        <v>12.7</v>
      </c>
      <c r="G234" s="18">
        <v>192.3</v>
      </c>
      <c r="H234" s="15">
        <v>150.30000000000001</v>
      </c>
      <c r="I234" s="18">
        <v>100728</v>
      </c>
      <c r="J234" s="11">
        <v>3720</v>
      </c>
      <c r="K234" s="11">
        <v>22.91</v>
      </c>
      <c r="L234" s="11">
        <v>2073</v>
      </c>
      <c r="M234" s="15">
        <v>4146</v>
      </c>
      <c r="N234" s="18">
        <v>10323</v>
      </c>
      <c r="O234" s="11">
        <v>660</v>
      </c>
      <c r="P234" s="11">
        <v>7.34</v>
      </c>
      <c r="Q234" s="11">
        <v>506</v>
      </c>
      <c r="R234" s="15">
        <v>1011</v>
      </c>
      <c r="S234" s="18">
        <v>217</v>
      </c>
      <c r="T234" s="11">
        <v>7035640</v>
      </c>
      <c r="U234" s="16"/>
      <c r="V234" s="9"/>
      <c r="W234" s="17"/>
    </row>
    <row r="235" spans="1:23" x14ac:dyDescent="0.25">
      <c r="A235" s="9" t="s">
        <v>37</v>
      </c>
      <c r="B235" s="14">
        <v>549</v>
      </c>
      <c r="C235" s="10">
        <v>214</v>
      </c>
      <c r="D235" s="11">
        <v>23.6</v>
      </c>
      <c r="E235" s="11">
        <v>464</v>
      </c>
      <c r="F235" s="11">
        <v>14.7</v>
      </c>
      <c r="G235" s="18">
        <v>176.1</v>
      </c>
      <c r="H235" s="15">
        <v>138.4</v>
      </c>
      <c r="I235" s="18">
        <v>86160</v>
      </c>
      <c r="J235" s="11">
        <v>3146</v>
      </c>
      <c r="K235" s="11">
        <v>22.1</v>
      </c>
      <c r="L235" s="11">
        <v>1811</v>
      </c>
      <c r="M235" s="15">
        <v>3622</v>
      </c>
      <c r="N235" s="18">
        <v>3867</v>
      </c>
      <c r="O235" s="11">
        <v>362</v>
      </c>
      <c r="P235" s="11">
        <v>4.67</v>
      </c>
      <c r="Q235" s="11">
        <v>284</v>
      </c>
      <c r="R235" s="15">
        <v>569</v>
      </c>
      <c r="S235" s="18">
        <v>251</v>
      </c>
      <c r="T235" s="11">
        <v>2669247</v>
      </c>
      <c r="U235" s="16"/>
      <c r="V235" s="9"/>
      <c r="W235" s="17"/>
    </row>
    <row r="236" spans="1:23" x14ac:dyDescent="0.25">
      <c r="A236" s="9" t="s">
        <v>37</v>
      </c>
      <c r="B236" s="14">
        <v>544</v>
      </c>
      <c r="C236" s="10">
        <v>212</v>
      </c>
      <c r="D236" s="11">
        <v>21.2</v>
      </c>
      <c r="E236" s="11">
        <v>464</v>
      </c>
      <c r="F236" s="11">
        <v>13.1</v>
      </c>
      <c r="G236" s="18">
        <v>156.80000000000001</v>
      </c>
      <c r="H236" s="15">
        <v>123.5</v>
      </c>
      <c r="I236" s="18">
        <v>76170</v>
      </c>
      <c r="J236" s="11">
        <v>2802</v>
      </c>
      <c r="K236" s="11">
        <v>22.02</v>
      </c>
      <c r="L236" s="11">
        <v>1606</v>
      </c>
      <c r="M236" s="15">
        <v>3212</v>
      </c>
      <c r="N236" s="18">
        <v>3388</v>
      </c>
      <c r="O236" s="11">
        <v>320</v>
      </c>
      <c r="P236" s="11">
        <v>4.6500000000000004</v>
      </c>
      <c r="Q236" s="11">
        <v>250</v>
      </c>
      <c r="R236" s="15">
        <v>500</v>
      </c>
      <c r="S236" s="18">
        <v>181</v>
      </c>
      <c r="T236" s="11">
        <v>2317465</v>
      </c>
      <c r="U236" s="16"/>
      <c r="V236" s="9"/>
      <c r="W236" s="17"/>
    </row>
    <row r="237" spans="1:23" x14ac:dyDescent="0.25">
      <c r="A237" s="9" t="s">
        <v>37</v>
      </c>
      <c r="B237" s="14">
        <v>539</v>
      </c>
      <c r="C237" s="10">
        <v>211</v>
      </c>
      <c r="D237" s="11">
        <v>18.8</v>
      </c>
      <c r="E237" s="11">
        <v>464</v>
      </c>
      <c r="F237" s="11">
        <v>11.6</v>
      </c>
      <c r="G237" s="18">
        <v>138.69999999999999</v>
      </c>
      <c r="H237" s="15">
        <v>108.6</v>
      </c>
      <c r="I237" s="18">
        <v>66597</v>
      </c>
      <c r="J237" s="11">
        <v>2474</v>
      </c>
      <c r="K237" s="11">
        <v>21.95</v>
      </c>
      <c r="L237" s="11">
        <v>1409</v>
      </c>
      <c r="M237" s="15">
        <v>2819</v>
      </c>
      <c r="N237" s="18">
        <v>2939</v>
      </c>
      <c r="O237" s="11">
        <v>279</v>
      </c>
      <c r="P237" s="11">
        <v>4.5999999999999996</v>
      </c>
      <c r="Q237" s="11">
        <v>218</v>
      </c>
      <c r="R237" s="15">
        <v>436</v>
      </c>
      <c r="S237" s="18">
        <v>126</v>
      </c>
      <c r="T237" s="11">
        <v>1989851</v>
      </c>
      <c r="U237" s="16"/>
      <c r="V237" s="9"/>
      <c r="W237" s="17"/>
    </row>
    <row r="238" spans="1:23" x14ac:dyDescent="0.25">
      <c r="A238" s="9" t="s">
        <v>37</v>
      </c>
      <c r="B238" s="14">
        <v>537</v>
      </c>
      <c r="C238" s="10">
        <v>210</v>
      </c>
      <c r="D238" s="11">
        <v>17.399999999999999</v>
      </c>
      <c r="E238" s="11">
        <v>464</v>
      </c>
      <c r="F238" s="11">
        <v>10.9</v>
      </c>
      <c r="G238" s="18">
        <v>129</v>
      </c>
      <c r="H238" s="15">
        <v>101.2</v>
      </c>
      <c r="I238" s="18">
        <v>61602</v>
      </c>
      <c r="J238" s="11">
        <v>2294</v>
      </c>
      <c r="K238" s="11">
        <v>21.84</v>
      </c>
      <c r="L238" s="11">
        <v>1311</v>
      </c>
      <c r="M238" s="15">
        <v>2622</v>
      </c>
      <c r="N238" s="18">
        <v>2693</v>
      </c>
      <c r="O238" s="11">
        <v>257</v>
      </c>
      <c r="P238" s="11">
        <v>4.57</v>
      </c>
      <c r="Q238" s="11">
        <v>200</v>
      </c>
      <c r="R238" s="15">
        <v>400</v>
      </c>
      <c r="S238" s="18">
        <v>102</v>
      </c>
      <c r="T238" s="11">
        <v>1815302</v>
      </c>
      <c r="U238" s="16"/>
      <c r="V238" s="9"/>
      <c r="W238" s="17"/>
    </row>
    <row r="239" spans="1:23" x14ac:dyDescent="0.25">
      <c r="A239" s="9" t="s">
        <v>37</v>
      </c>
      <c r="B239" s="14">
        <v>533</v>
      </c>
      <c r="C239" s="10">
        <v>209</v>
      </c>
      <c r="D239" s="11">
        <v>15.6</v>
      </c>
      <c r="E239" s="11">
        <v>464</v>
      </c>
      <c r="F239" s="11">
        <v>10.199999999999999</v>
      </c>
      <c r="G239" s="18">
        <v>118.1</v>
      </c>
      <c r="H239" s="15">
        <v>92.3</v>
      </c>
      <c r="I239" s="18">
        <v>55359</v>
      </c>
      <c r="J239" s="11">
        <v>2081</v>
      </c>
      <c r="K239" s="11">
        <v>21.69</v>
      </c>
      <c r="L239" s="11">
        <v>1180</v>
      </c>
      <c r="M239" s="15">
        <v>2360</v>
      </c>
      <c r="N239" s="18">
        <v>2393</v>
      </c>
      <c r="O239" s="11">
        <v>228</v>
      </c>
      <c r="P239" s="11">
        <v>4.5</v>
      </c>
      <c r="Q239" s="11">
        <v>178</v>
      </c>
      <c r="R239" s="15">
        <v>356</v>
      </c>
      <c r="S239" s="18">
        <v>76.2</v>
      </c>
      <c r="T239" s="11">
        <v>1600474</v>
      </c>
      <c r="U239" s="16"/>
      <c r="V239" s="9"/>
      <c r="W239" s="17"/>
    </row>
    <row r="240" spans="1:23" x14ac:dyDescent="0.25">
      <c r="A240" s="9" t="s">
        <v>37</v>
      </c>
      <c r="B240" s="14">
        <v>535</v>
      </c>
      <c r="C240" s="10">
        <v>166</v>
      </c>
      <c r="D240" s="11">
        <v>16.5</v>
      </c>
      <c r="E240" s="11">
        <v>464</v>
      </c>
      <c r="F240" s="11">
        <v>10.3</v>
      </c>
      <c r="G240" s="18">
        <v>107.7</v>
      </c>
      <c r="H240" s="15">
        <v>84.8</v>
      </c>
      <c r="I240" s="18">
        <v>48699</v>
      </c>
      <c r="J240" s="11">
        <v>1819</v>
      </c>
      <c r="K240" s="11">
        <v>21.23</v>
      </c>
      <c r="L240" s="11">
        <v>1057</v>
      </c>
      <c r="M240" s="15">
        <v>2114</v>
      </c>
      <c r="N240" s="18">
        <v>1274</v>
      </c>
      <c r="O240" s="11">
        <v>153</v>
      </c>
      <c r="P240" s="11">
        <v>3.43</v>
      </c>
      <c r="Q240" s="11">
        <v>121</v>
      </c>
      <c r="R240" s="15">
        <v>243</v>
      </c>
      <c r="S240" s="18">
        <v>73.7</v>
      </c>
      <c r="T240" s="11">
        <v>856629</v>
      </c>
      <c r="U240" s="16"/>
      <c r="V240" s="9"/>
      <c r="W240" s="17"/>
    </row>
    <row r="241" spans="1:23" x14ac:dyDescent="0.25">
      <c r="A241" s="9" t="s">
        <v>37</v>
      </c>
      <c r="B241" s="14">
        <v>529</v>
      </c>
      <c r="C241" s="10">
        <v>166</v>
      </c>
      <c r="D241" s="11">
        <v>13.6</v>
      </c>
      <c r="E241" s="11">
        <v>464</v>
      </c>
      <c r="F241" s="11">
        <v>9.6999999999999993</v>
      </c>
      <c r="G241" s="18">
        <v>94.84</v>
      </c>
      <c r="H241" s="15">
        <v>74.400000000000006</v>
      </c>
      <c r="I241" s="18">
        <v>40957</v>
      </c>
      <c r="J241" s="11">
        <v>1549</v>
      </c>
      <c r="K241" s="11">
        <v>20.78</v>
      </c>
      <c r="L241" s="11">
        <v>901</v>
      </c>
      <c r="M241" s="15">
        <v>1803</v>
      </c>
      <c r="N241" s="18">
        <v>1036</v>
      </c>
      <c r="O241" s="11">
        <v>125</v>
      </c>
      <c r="P241" s="11">
        <v>3.3</v>
      </c>
      <c r="Q241" s="11">
        <v>100</v>
      </c>
      <c r="R241" s="15">
        <v>200</v>
      </c>
      <c r="S241" s="18">
        <v>47.5</v>
      </c>
      <c r="T241" s="11">
        <v>690137</v>
      </c>
      <c r="U241" s="16"/>
      <c r="V241" s="9"/>
      <c r="W241" s="17"/>
    </row>
    <row r="242" spans="1:23" x14ac:dyDescent="0.25">
      <c r="A242" s="9" t="s">
        <v>37</v>
      </c>
      <c r="B242" s="14">
        <v>525</v>
      </c>
      <c r="C242" s="10">
        <v>165</v>
      </c>
      <c r="D242" s="11">
        <v>11.4</v>
      </c>
      <c r="E242" s="11">
        <v>464</v>
      </c>
      <c r="F242" s="11">
        <v>8.9</v>
      </c>
      <c r="G242" s="18">
        <v>83.87</v>
      </c>
      <c r="H242" s="15">
        <v>65.5</v>
      </c>
      <c r="I242" s="18">
        <v>35088</v>
      </c>
      <c r="J242" s="11">
        <v>1337</v>
      </c>
      <c r="K242" s="11">
        <v>20.47</v>
      </c>
      <c r="L242" s="11">
        <v>782</v>
      </c>
      <c r="M242" s="15">
        <v>1563</v>
      </c>
      <c r="N242" s="18">
        <v>862</v>
      </c>
      <c r="O242" s="11">
        <v>104</v>
      </c>
      <c r="P242" s="11">
        <v>3.2</v>
      </c>
      <c r="Q242" s="11">
        <v>84</v>
      </c>
      <c r="R242" s="15">
        <v>167</v>
      </c>
      <c r="S242" s="18">
        <v>32</v>
      </c>
      <c r="T242" s="11">
        <v>566611</v>
      </c>
      <c r="U242" s="16"/>
      <c r="V242" s="9"/>
      <c r="W242" s="17"/>
    </row>
    <row r="243" spans="1:23" x14ac:dyDescent="0.25">
      <c r="A243" s="9" t="s">
        <v>37</v>
      </c>
      <c r="B243" s="14">
        <v>567</v>
      </c>
      <c r="C243" s="10">
        <v>305</v>
      </c>
      <c r="D243" s="11">
        <v>69.599999999999994</v>
      </c>
      <c r="E243" s="11">
        <v>394</v>
      </c>
      <c r="F243" s="11">
        <v>38.6</v>
      </c>
      <c r="G243" s="18">
        <v>590.29999999999995</v>
      </c>
      <c r="H243" s="15">
        <v>462.8</v>
      </c>
      <c r="I243" s="18">
        <v>289697</v>
      </c>
      <c r="J243" s="11">
        <v>10226</v>
      </c>
      <c r="K243" s="11">
        <v>22.15</v>
      </c>
      <c r="L243" s="11">
        <v>6170</v>
      </c>
      <c r="M243" s="15">
        <v>12339</v>
      </c>
      <c r="N243" s="18">
        <v>33090</v>
      </c>
      <c r="O243" s="11">
        <v>2163</v>
      </c>
      <c r="P243" s="11">
        <v>7.49</v>
      </c>
      <c r="Q243" s="11">
        <v>1696</v>
      </c>
      <c r="R243" s="15">
        <v>3392</v>
      </c>
      <c r="S243" s="18">
        <v>7367</v>
      </c>
      <c r="T243" s="11">
        <v>20328165</v>
      </c>
      <c r="U243" s="16"/>
      <c r="V243" s="9"/>
      <c r="W243" s="17"/>
    </row>
    <row r="244" spans="1:23" x14ac:dyDescent="0.25">
      <c r="A244" s="9" t="s">
        <v>37</v>
      </c>
      <c r="B244" s="14">
        <v>555</v>
      </c>
      <c r="C244" s="10">
        <v>302</v>
      </c>
      <c r="D244" s="11">
        <v>63.5</v>
      </c>
      <c r="E244" s="11">
        <v>394</v>
      </c>
      <c r="F244" s="11">
        <v>35.6</v>
      </c>
      <c r="G244" s="18">
        <v>536.79999999999995</v>
      </c>
      <c r="H244" s="15">
        <v>421.2</v>
      </c>
      <c r="I244" s="18">
        <v>256399</v>
      </c>
      <c r="J244" s="11">
        <v>9242</v>
      </c>
      <c r="K244" s="11">
        <v>21.87</v>
      </c>
      <c r="L244" s="11">
        <v>5539</v>
      </c>
      <c r="M244" s="15">
        <v>11078</v>
      </c>
      <c r="N244" s="18">
        <v>29303</v>
      </c>
      <c r="O244" s="11">
        <v>1934</v>
      </c>
      <c r="P244" s="11">
        <v>7.39</v>
      </c>
      <c r="Q244" s="11">
        <v>1516</v>
      </c>
      <c r="R244" s="15">
        <v>3032</v>
      </c>
      <c r="S244" s="18">
        <v>5619</v>
      </c>
      <c r="T244" s="11">
        <v>17615953</v>
      </c>
      <c r="U244" s="16"/>
      <c r="V244" s="9"/>
      <c r="W244" s="17"/>
    </row>
    <row r="245" spans="1:23" x14ac:dyDescent="0.25">
      <c r="A245" s="9" t="s">
        <v>37</v>
      </c>
      <c r="B245" s="14">
        <v>545</v>
      </c>
      <c r="C245" s="10">
        <v>299</v>
      </c>
      <c r="D245" s="11">
        <v>58.4</v>
      </c>
      <c r="E245" s="11">
        <v>394</v>
      </c>
      <c r="F245" s="11">
        <v>32.5</v>
      </c>
      <c r="G245" s="18">
        <v>489.7</v>
      </c>
      <c r="H245" s="15">
        <v>383.9</v>
      </c>
      <c r="I245" s="18">
        <v>229344</v>
      </c>
      <c r="J245" s="11">
        <v>8423</v>
      </c>
      <c r="K245" s="11">
        <v>21.67</v>
      </c>
      <c r="L245" s="11">
        <v>5006</v>
      </c>
      <c r="M245" s="15">
        <v>10012</v>
      </c>
      <c r="N245" s="18">
        <v>26139</v>
      </c>
      <c r="O245" s="11">
        <v>1753</v>
      </c>
      <c r="P245" s="11">
        <v>7.32</v>
      </c>
      <c r="Q245" s="11">
        <v>1360</v>
      </c>
      <c r="R245" s="15">
        <v>2720</v>
      </c>
      <c r="S245" s="18">
        <v>4329</v>
      </c>
      <c r="T245" s="11">
        <v>15413959</v>
      </c>
      <c r="U245" s="16"/>
      <c r="V245" s="9"/>
      <c r="W245" s="17"/>
    </row>
    <row r="246" spans="1:23" x14ac:dyDescent="0.25">
      <c r="A246" s="9" t="s">
        <v>37</v>
      </c>
      <c r="B246" s="14">
        <v>535</v>
      </c>
      <c r="C246" s="10">
        <v>296</v>
      </c>
      <c r="D246" s="11">
        <v>53.6</v>
      </c>
      <c r="E246" s="11">
        <v>394</v>
      </c>
      <c r="F246" s="11">
        <v>29.5</v>
      </c>
      <c r="G246" s="18">
        <v>443.9</v>
      </c>
      <c r="H246" s="15">
        <v>348.2</v>
      </c>
      <c r="I246" s="18">
        <v>203953</v>
      </c>
      <c r="J246" s="11">
        <v>7636</v>
      </c>
      <c r="K246" s="11">
        <v>21.44</v>
      </c>
      <c r="L246" s="11">
        <v>4498</v>
      </c>
      <c r="M246" s="15">
        <v>8996</v>
      </c>
      <c r="N246" s="18">
        <v>23226</v>
      </c>
      <c r="O246" s="11">
        <v>1570</v>
      </c>
      <c r="P246" s="11">
        <v>7.24</v>
      </c>
      <c r="Q246" s="11">
        <v>1221</v>
      </c>
      <c r="R246" s="15">
        <v>2442</v>
      </c>
      <c r="S246" s="18">
        <v>3317</v>
      </c>
      <c r="T246" s="11">
        <v>13399940</v>
      </c>
      <c r="U246" s="16"/>
      <c r="V246" s="9"/>
      <c r="W246" s="17"/>
    </row>
    <row r="247" spans="1:23" x14ac:dyDescent="0.25">
      <c r="A247" s="9" t="s">
        <v>37</v>
      </c>
      <c r="B247" s="14">
        <v>525</v>
      </c>
      <c r="C247" s="10">
        <v>293</v>
      </c>
      <c r="D247" s="11">
        <v>48.5</v>
      </c>
      <c r="E247" s="11">
        <v>394</v>
      </c>
      <c r="F247" s="11">
        <v>26.9</v>
      </c>
      <c r="G247" s="18">
        <v>400.6</v>
      </c>
      <c r="H247" s="15">
        <v>314</v>
      </c>
      <c r="I247" s="18">
        <v>180228</v>
      </c>
      <c r="J247" s="11">
        <v>6866</v>
      </c>
      <c r="K247" s="11">
        <v>21.21</v>
      </c>
      <c r="L247" s="11">
        <v>4015</v>
      </c>
      <c r="M247" s="15">
        <v>8030</v>
      </c>
      <c r="N247" s="18">
        <v>20520</v>
      </c>
      <c r="O247" s="11">
        <v>1398</v>
      </c>
      <c r="P247" s="11">
        <v>7.16</v>
      </c>
      <c r="Q247" s="11">
        <v>1082</v>
      </c>
      <c r="R247" s="15">
        <v>2163</v>
      </c>
      <c r="S247" s="18">
        <v>2468</v>
      </c>
      <c r="T247" s="11">
        <v>11600749</v>
      </c>
      <c r="U247" s="16"/>
      <c r="V247" s="9"/>
      <c r="W247" s="17"/>
    </row>
    <row r="248" spans="1:23" x14ac:dyDescent="0.25">
      <c r="A248" s="9" t="s">
        <v>37</v>
      </c>
      <c r="B248" s="14">
        <v>517</v>
      </c>
      <c r="C248" s="10">
        <v>291</v>
      </c>
      <c r="D248" s="11">
        <v>44.5</v>
      </c>
      <c r="E248" s="11">
        <v>394</v>
      </c>
      <c r="F248" s="11">
        <v>24.4</v>
      </c>
      <c r="G248" s="18">
        <v>363.9</v>
      </c>
      <c r="H248" s="15">
        <v>285.7</v>
      </c>
      <c r="I248" s="18">
        <v>161082</v>
      </c>
      <c r="J248" s="11">
        <v>6227</v>
      </c>
      <c r="K248" s="11">
        <v>21.03</v>
      </c>
      <c r="L248" s="11">
        <v>3622</v>
      </c>
      <c r="M248" s="15">
        <v>7243</v>
      </c>
      <c r="N248" s="18">
        <v>18314</v>
      </c>
      <c r="O248" s="11">
        <v>1259</v>
      </c>
      <c r="P248" s="11">
        <v>7.09</v>
      </c>
      <c r="Q248" s="11">
        <v>975</v>
      </c>
      <c r="R248" s="15">
        <v>1950</v>
      </c>
      <c r="S248" s="18">
        <v>1881</v>
      </c>
      <c r="T248" s="11">
        <v>10177509</v>
      </c>
      <c r="U248" s="16"/>
      <c r="V248" s="9"/>
      <c r="W248" s="17"/>
    </row>
    <row r="249" spans="1:23" x14ac:dyDescent="0.25">
      <c r="A249" s="9" t="s">
        <v>37</v>
      </c>
      <c r="B249" s="14">
        <v>509</v>
      </c>
      <c r="C249" s="10">
        <v>289</v>
      </c>
      <c r="D249" s="11">
        <v>40.4</v>
      </c>
      <c r="E249" s="11">
        <v>394</v>
      </c>
      <c r="F249" s="11">
        <v>22.6</v>
      </c>
      <c r="G249" s="18">
        <v>331</v>
      </c>
      <c r="H249" s="15">
        <v>260.39999999999998</v>
      </c>
      <c r="I249" s="18">
        <v>143600</v>
      </c>
      <c r="J249" s="11">
        <v>5637</v>
      </c>
      <c r="K249" s="11">
        <v>20.83</v>
      </c>
      <c r="L249" s="11">
        <v>3261</v>
      </c>
      <c r="M249" s="15">
        <v>6522</v>
      </c>
      <c r="N249" s="18">
        <v>16275</v>
      </c>
      <c r="O249" s="11">
        <v>1127</v>
      </c>
      <c r="P249" s="11">
        <v>7.01</v>
      </c>
      <c r="Q249" s="11">
        <v>869</v>
      </c>
      <c r="R249" s="15">
        <v>1737</v>
      </c>
      <c r="S249" s="18">
        <v>1424</v>
      </c>
      <c r="T249" s="11">
        <v>8915391</v>
      </c>
      <c r="U249" s="16"/>
      <c r="V249" s="9"/>
      <c r="W249" s="17"/>
    </row>
    <row r="250" spans="1:23" x14ac:dyDescent="0.25">
      <c r="A250" s="9" t="s">
        <v>37</v>
      </c>
      <c r="B250" s="14">
        <v>501</v>
      </c>
      <c r="C250" s="10">
        <v>287</v>
      </c>
      <c r="D250" s="11">
        <v>36.6</v>
      </c>
      <c r="E250" s="11">
        <v>394</v>
      </c>
      <c r="F250" s="11">
        <v>20.6</v>
      </c>
      <c r="G250" s="18">
        <v>298.7</v>
      </c>
      <c r="H250" s="15">
        <v>235.1</v>
      </c>
      <c r="I250" s="18">
        <v>127367</v>
      </c>
      <c r="J250" s="11">
        <v>5080</v>
      </c>
      <c r="K250" s="11">
        <v>20.62</v>
      </c>
      <c r="L250" s="11">
        <v>2917</v>
      </c>
      <c r="M250" s="15">
        <v>5834</v>
      </c>
      <c r="N250" s="18">
        <v>14443</v>
      </c>
      <c r="O250" s="11">
        <v>1006</v>
      </c>
      <c r="P250" s="11">
        <v>6.96</v>
      </c>
      <c r="Q250" s="11">
        <v>777</v>
      </c>
      <c r="R250" s="15">
        <v>1553</v>
      </c>
      <c r="S250" s="18">
        <v>1057</v>
      </c>
      <c r="T250" s="11">
        <v>7760687</v>
      </c>
      <c r="U250" s="16"/>
      <c r="V250" s="9"/>
      <c r="W250" s="17"/>
    </row>
    <row r="251" spans="1:23" x14ac:dyDescent="0.25">
      <c r="A251" s="9" t="s">
        <v>37</v>
      </c>
      <c r="B251" s="14">
        <v>495</v>
      </c>
      <c r="C251" s="10">
        <v>285</v>
      </c>
      <c r="D251" s="11">
        <v>33.5</v>
      </c>
      <c r="E251" s="11">
        <v>394</v>
      </c>
      <c r="F251" s="11">
        <v>18.5</v>
      </c>
      <c r="G251" s="18">
        <v>271.60000000000002</v>
      </c>
      <c r="H251" s="15">
        <v>212.8</v>
      </c>
      <c r="I251" s="18">
        <v>114464</v>
      </c>
      <c r="J251" s="11">
        <v>4621</v>
      </c>
      <c r="K251" s="11">
        <v>20.55</v>
      </c>
      <c r="L251" s="11">
        <v>2638</v>
      </c>
      <c r="M251" s="15">
        <v>5277</v>
      </c>
      <c r="N251" s="18">
        <v>12945</v>
      </c>
      <c r="O251" s="11">
        <v>909</v>
      </c>
      <c r="P251" s="11">
        <v>6.91</v>
      </c>
      <c r="Q251" s="11">
        <v>700</v>
      </c>
      <c r="R251" s="15">
        <v>1399</v>
      </c>
      <c r="S251" s="18">
        <v>807</v>
      </c>
      <c r="T251" s="11">
        <v>6901372</v>
      </c>
      <c r="U251" s="16"/>
      <c r="V251" s="9"/>
      <c r="W251" s="17"/>
    </row>
    <row r="252" spans="1:23" x14ac:dyDescent="0.25">
      <c r="A252" s="9" t="s">
        <v>37</v>
      </c>
      <c r="B252" s="14">
        <v>489</v>
      </c>
      <c r="C252" s="10">
        <v>283</v>
      </c>
      <c r="D252" s="11">
        <v>30.5</v>
      </c>
      <c r="E252" s="11">
        <v>394</v>
      </c>
      <c r="F252" s="11">
        <v>17</v>
      </c>
      <c r="G252" s="18">
        <v>246.5</v>
      </c>
      <c r="H252" s="15">
        <v>193</v>
      </c>
      <c r="I252" s="18">
        <v>102393</v>
      </c>
      <c r="J252" s="11">
        <v>4195</v>
      </c>
      <c r="K252" s="11">
        <v>20.399999999999999</v>
      </c>
      <c r="L252" s="11">
        <v>2384</v>
      </c>
      <c r="M252" s="15">
        <v>4769</v>
      </c>
      <c r="N252" s="18">
        <v>11571</v>
      </c>
      <c r="O252" s="11">
        <v>818</v>
      </c>
      <c r="P252" s="11">
        <v>6.86</v>
      </c>
      <c r="Q252" s="11">
        <v>628</v>
      </c>
      <c r="R252" s="15">
        <v>1257</v>
      </c>
      <c r="S252" s="18">
        <v>612</v>
      </c>
      <c r="T252" s="11">
        <v>6095764</v>
      </c>
      <c r="U252" s="16"/>
      <c r="V252" s="9"/>
      <c r="W252" s="17"/>
    </row>
    <row r="253" spans="1:23" x14ac:dyDescent="0.25">
      <c r="A253" s="9" t="s">
        <v>37</v>
      </c>
      <c r="B253" s="14">
        <v>482</v>
      </c>
      <c r="C253" s="10">
        <v>286</v>
      </c>
      <c r="D253" s="11">
        <v>26.9</v>
      </c>
      <c r="E253" s="11">
        <v>394</v>
      </c>
      <c r="F253" s="11">
        <v>16.600000000000001</v>
      </c>
      <c r="G253" s="18">
        <v>226.5</v>
      </c>
      <c r="H253" s="15">
        <v>177</v>
      </c>
      <c r="I253" s="18">
        <v>91155</v>
      </c>
      <c r="J253" s="11">
        <v>3785</v>
      </c>
      <c r="K253" s="11">
        <v>20.07</v>
      </c>
      <c r="L253" s="11">
        <v>2139</v>
      </c>
      <c r="M253" s="15">
        <v>4277</v>
      </c>
      <c r="N253" s="18">
        <v>10531</v>
      </c>
      <c r="O253" s="11">
        <v>736</v>
      </c>
      <c r="P253" s="11">
        <v>6.83</v>
      </c>
      <c r="Q253" s="11">
        <v>566</v>
      </c>
      <c r="R253" s="15">
        <v>1132</v>
      </c>
      <c r="S253" s="18">
        <v>441</v>
      </c>
      <c r="T253" s="11">
        <v>5451278</v>
      </c>
      <c r="U253" s="16"/>
      <c r="V253" s="9"/>
      <c r="W253" s="17"/>
    </row>
    <row r="254" spans="1:23" x14ac:dyDescent="0.25">
      <c r="A254" s="9" t="s">
        <v>37</v>
      </c>
      <c r="B254" s="14">
        <v>476</v>
      </c>
      <c r="C254" s="10">
        <v>284</v>
      </c>
      <c r="D254" s="11">
        <v>23.9</v>
      </c>
      <c r="E254" s="11">
        <v>394</v>
      </c>
      <c r="F254" s="11">
        <v>15</v>
      </c>
      <c r="G254" s="18">
        <v>200.6</v>
      </c>
      <c r="H254" s="15">
        <v>157.69999999999999</v>
      </c>
      <c r="I254" s="18">
        <v>79500</v>
      </c>
      <c r="J254" s="11">
        <v>3343</v>
      </c>
      <c r="K254" s="11">
        <v>19.91</v>
      </c>
      <c r="L254" s="11">
        <v>1885</v>
      </c>
      <c r="M254" s="15">
        <v>3769</v>
      </c>
      <c r="N254" s="18">
        <v>9157</v>
      </c>
      <c r="O254" s="11">
        <v>646</v>
      </c>
      <c r="P254" s="11">
        <v>6.76</v>
      </c>
      <c r="Q254" s="11">
        <v>496</v>
      </c>
      <c r="R254" s="15">
        <v>991</v>
      </c>
      <c r="S254" s="18">
        <v>311</v>
      </c>
      <c r="T254" s="11">
        <v>4672524</v>
      </c>
      <c r="U254" s="16"/>
      <c r="V254" s="9"/>
      <c r="W254" s="17"/>
    </row>
    <row r="255" spans="1:23" x14ac:dyDescent="0.25">
      <c r="A255" s="9" t="s">
        <v>37</v>
      </c>
      <c r="B255" s="14">
        <v>472</v>
      </c>
      <c r="C255" s="10">
        <v>283</v>
      </c>
      <c r="D255" s="11">
        <v>22.1</v>
      </c>
      <c r="E255" s="11">
        <v>394</v>
      </c>
      <c r="F255" s="11">
        <v>13.6</v>
      </c>
      <c r="G255" s="18">
        <v>183.9</v>
      </c>
      <c r="H255" s="15">
        <v>144.4</v>
      </c>
      <c r="I255" s="18">
        <v>72840</v>
      </c>
      <c r="J255" s="11">
        <v>3081</v>
      </c>
      <c r="K255" s="11">
        <v>19.86</v>
      </c>
      <c r="L255" s="11">
        <v>1729</v>
      </c>
      <c r="M255" s="15">
        <v>3458</v>
      </c>
      <c r="N255" s="18">
        <v>8366</v>
      </c>
      <c r="O255" s="11">
        <v>592</v>
      </c>
      <c r="P255" s="11">
        <v>6.73</v>
      </c>
      <c r="Q255" s="11">
        <v>453</v>
      </c>
      <c r="R255" s="15">
        <v>906</v>
      </c>
      <c r="S255" s="18">
        <v>244</v>
      </c>
      <c r="T255" s="11">
        <v>4242867</v>
      </c>
      <c r="U255" s="16"/>
      <c r="V255" s="9"/>
      <c r="W255" s="17"/>
    </row>
    <row r="256" spans="1:23" x14ac:dyDescent="0.25">
      <c r="A256" s="9" t="s">
        <v>37</v>
      </c>
      <c r="B256" s="14">
        <v>467</v>
      </c>
      <c r="C256" s="10">
        <v>282</v>
      </c>
      <c r="D256" s="11">
        <v>19.600000000000001</v>
      </c>
      <c r="E256" s="11">
        <v>394</v>
      </c>
      <c r="F256" s="11">
        <v>12.2</v>
      </c>
      <c r="G256" s="18">
        <v>163.19999999999999</v>
      </c>
      <c r="H256" s="15">
        <v>128</v>
      </c>
      <c r="I256" s="18">
        <v>63683</v>
      </c>
      <c r="J256" s="11">
        <v>2720</v>
      </c>
      <c r="K256" s="11">
        <v>19.739999999999998</v>
      </c>
      <c r="L256" s="11">
        <v>1524</v>
      </c>
      <c r="M256" s="15">
        <v>3048</v>
      </c>
      <c r="N256" s="18">
        <v>7284</v>
      </c>
      <c r="O256" s="11">
        <v>518</v>
      </c>
      <c r="P256" s="11">
        <v>6.68</v>
      </c>
      <c r="Q256" s="11">
        <v>397</v>
      </c>
      <c r="R256" s="15">
        <v>793</v>
      </c>
      <c r="S256" s="18">
        <v>171</v>
      </c>
      <c r="T256" s="11">
        <v>3652088</v>
      </c>
      <c r="U256" s="16"/>
      <c r="V256" s="9"/>
      <c r="W256" s="17"/>
    </row>
    <row r="257" spans="1:23" x14ac:dyDescent="0.25">
      <c r="A257" s="9" t="s">
        <v>37</v>
      </c>
      <c r="B257" s="14">
        <v>463</v>
      </c>
      <c r="C257" s="10">
        <v>280</v>
      </c>
      <c r="D257" s="11">
        <v>17.3</v>
      </c>
      <c r="E257" s="11">
        <v>394</v>
      </c>
      <c r="F257" s="11">
        <v>10.8</v>
      </c>
      <c r="G257" s="18">
        <v>143.9</v>
      </c>
      <c r="H257" s="15">
        <v>113.1</v>
      </c>
      <c r="I257" s="18">
        <v>55359</v>
      </c>
      <c r="J257" s="11">
        <v>2393</v>
      </c>
      <c r="K257" s="11">
        <v>19.63</v>
      </c>
      <c r="L257" s="11">
        <v>1336</v>
      </c>
      <c r="M257" s="15">
        <v>2671</v>
      </c>
      <c r="N257" s="18">
        <v>6327</v>
      </c>
      <c r="O257" s="11">
        <v>452</v>
      </c>
      <c r="P257" s="11">
        <v>6.63</v>
      </c>
      <c r="Q257" s="11">
        <v>346</v>
      </c>
      <c r="R257" s="15">
        <v>692</v>
      </c>
      <c r="S257" s="18">
        <v>118</v>
      </c>
      <c r="T257" s="11">
        <v>3141870</v>
      </c>
      <c r="U257" s="16"/>
      <c r="V257" s="9"/>
      <c r="W257" s="17"/>
    </row>
    <row r="258" spans="1:23" x14ac:dyDescent="0.25">
      <c r="A258" s="9" t="s">
        <v>37</v>
      </c>
      <c r="B258" s="14">
        <v>469</v>
      </c>
      <c r="C258" s="10">
        <v>194</v>
      </c>
      <c r="D258" s="11">
        <v>20.6</v>
      </c>
      <c r="E258" s="11">
        <v>394</v>
      </c>
      <c r="F258" s="11">
        <v>12.6</v>
      </c>
      <c r="G258" s="18">
        <v>134.19999999999999</v>
      </c>
      <c r="H258" s="15">
        <v>105.7</v>
      </c>
      <c r="I258" s="18">
        <v>48699</v>
      </c>
      <c r="J258" s="11">
        <v>2081</v>
      </c>
      <c r="K258" s="11">
        <v>19.05</v>
      </c>
      <c r="L258" s="11">
        <v>1188</v>
      </c>
      <c r="M258" s="15">
        <v>2376</v>
      </c>
      <c r="N258" s="18">
        <v>2510</v>
      </c>
      <c r="O258" s="11">
        <v>259</v>
      </c>
      <c r="P258" s="11">
        <v>4.32</v>
      </c>
      <c r="Q258" s="11">
        <v>202</v>
      </c>
      <c r="R258" s="15">
        <v>405</v>
      </c>
      <c r="S258" s="18">
        <v>145</v>
      </c>
      <c r="T258" s="11">
        <v>1262119</v>
      </c>
      <c r="U258" s="16"/>
      <c r="V258" s="9"/>
      <c r="W258" s="17"/>
    </row>
    <row r="259" spans="1:23" x14ac:dyDescent="0.25">
      <c r="A259" s="9" t="s">
        <v>37</v>
      </c>
      <c r="B259" s="14">
        <v>466</v>
      </c>
      <c r="C259" s="10">
        <v>193</v>
      </c>
      <c r="D259" s="11">
        <v>19.100000000000001</v>
      </c>
      <c r="E259" s="11">
        <v>394</v>
      </c>
      <c r="F259" s="11">
        <v>11.4</v>
      </c>
      <c r="G259" s="18">
        <v>123.2</v>
      </c>
      <c r="H259" s="15">
        <v>96.7</v>
      </c>
      <c r="I259" s="18">
        <v>44537</v>
      </c>
      <c r="J259" s="11">
        <v>1917</v>
      </c>
      <c r="K259" s="11">
        <v>19.02</v>
      </c>
      <c r="L259" s="11">
        <v>1090</v>
      </c>
      <c r="M259" s="15">
        <v>2179</v>
      </c>
      <c r="N259" s="18">
        <v>2281</v>
      </c>
      <c r="O259" s="11">
        <v>236</v>
      </c>
      <c r="P259" s="11">
        <v>4.29</v>
      </c>
      <c r="Q259" s="11">
        <v>184</v>
      </c>
      <c r="R259" s="15">
        <v>369</v>
      </c>
      <c r="S259" s="18">
        <v>114</v>
      </c>
      <c r="T259" s="11">
        <v>1138592</v>
      </c>
      <c r="U259" s="16"/>
      <c r="V259" s="9"/>
      <c r="W259" s="17"/>
    </row>
    <row r="260" spans="1:23" x14ac:dyDescent="0.25">
      <c r="A260" s="9" t="s">
        <v>37</v>
      </c>
      <c r="B260" s="14">
        <v>463</v>
      </c>
      <c r="C260" s="10">
        <v>192</v>
      </c>
      <c r="D260" s="11">
        <v>17.7</v>
      </c>
      <c r="E260" s="11">
        <v>394</v>
      </c>
      <c r="F260" s="11">
        <v>10.5</v>
      </c>
      <c r="G260" s="18">
        <v>113.5</v>
      </c>
      <c r="H260" s="15">
        <v>89.3</v>
      </c>
      <c r="I260" s="18">
        <v>40957</v>
      </c>
      <c r="J260" s="11">
        <v>1770</v>
      </c>
      <c r="K260" s="11">
        <v>18.97</v>
      </c>
      <c r="L260" s="11">
        <v>1008</v>
      </c>
      <c r="M260" s="15">
        <v>2016</v>
      </c>
      <c r="N260" s="18">
        <v>2085</v>
      </c>
      <c r="O260" s="11">
        <v>218</v>
      </c>
      <c r="P260" s="11">
        <v>4.29</v>
      </c>
      <c r="Q260" s="11">
        <v>169</v>
      </c>
      <c r="R260" s="15">
        <v>338</v>
      </c>
      <c r="S260" s="18">
        <v>90.3</v>
      </c>
      <c r="T260" s="11">
        <v>1033863</v>
      </c>
      <c r="U260" s="16"/>
      <c r="V260" s="9"/>
      <c r="W260" s="17"/>
    </row>
    <row r="261" spans="1:23" x14ac:dyDescent="0.25">
      <c r="A261" s="9" t="s">
        <v>37</v>
      </c>
      <c r="B261" s="14">
        <v>460</v>
      </c>
      <c r="C261" s="10">
        <v>191</v>
      </c>
      <c r="D261" s="11">
        <v>16</v>
      </c>
      <c r="E261" s="11">
        <v>394</v>
      </c>
      <c r="F261" s="11">
        <v>9.9</v>
      </c>
      <c r="G261" s="18">
        <v>104.5</v>
      </c>
      <c r="H261" s="15">
        <v>81.8</v>
      </c>
      <c r="I261" s="18">
        <v>37045</v>
      </c>
      <c r="J261" s="11">
        <v>1611</v>
      </c>
      <c r="K261" s="11">
        <v>18.82</v>
      </c>
      <c r="L261" s="11">
        <v>918</v>
      </c>
      <c r="M261" s="15">
        <v>1835</v>
      </c>
      <c r="N261" s="18">
        <v>1869</v>
      </c>
      <c r="O261" s="11">
        <v>195</v>
      </c>
      <c r="P261" s="11">
        <v>4.24</v>
      </c>
      <c r="Q261" s="11">
        <v>152</v>
      </c>
      <c r="R261" s="15">
        <v>303</v>
      </c>
      <c r="S261" s="18">
        <v>69.099999999999994</v>
      </c>
      <c r="T261" s="11">
        <v>921078</v>
      </c>
      <c r="U261" s="16"/>
      <c r="V261" s="9"/>
      <c r="W261" s="17"/>
    </row>
    <row r="262" spans="1:23" x14ac:dyDescent="0.25">
      <c r="A262" s="9" t="s">
        <v>37</v>
      </c>
      <c r="B262" s="14">
        <v>457</v>
      </c>
      <c r="C262" s="10">
        <v>190</v>
      </c>
      <c r="D262" s="11">
        <v>14.5</v>
      </c>
      <c r="E262" s="11">
        <v>394</v>
      </c>
      <c r="F262" s="11">
        <v>9</v>
      </c>
      <c r="G262" s="18">
        <v>94.84</v>
      </c>
      <c r="H262" s="15">
        <v>74.400000000000006</v>
      </c>
      <c r="I262" s="18">
        <v>33299</v>
      </c>
      <c r="J262" s="11">
        <v>1457</v>
      </c>
      <c r="K262" s="11">
        <v>18.75</v>
      </c>
      <c r="L262" s="11">
        <v>828</v>
      </c>
      <c r="M262" s="15">
        <v>1655</v>
      </c>
      <c r="N262" s="18">
        <v>1669</v>
      </c>
      <c r="O262" s="11">
        <v>175</v>
      </c>
      <c r="P262" s="11">
        <v>4.1900000000000004</v>
      </c>
      <c r="Q262" s="11">
        <v>136</v>
      </c>
      <c r="R262" s="15">
        <v>272</v>
      </c>
      <c r="S262" s="18">
        <v>51.6</v>
      </c>
      <c r="T262" s="11">
        <v>816349</v>
      </c>
      <c r="U262" s="16"/>
      <c r="V262" s="9"/>
      <c r="W262" s="17"/>
    </row>
    <row r="263" spans="1:23" x14ac:dyDescent="0.25">
      <c r="A263" s="9" t="s">
        <v>37</v>
      </c>
      <c r="B263" s="14">
        <v>459</v>
      </c>
      <c r="C263" s="10">
        <v>154</v>
      </c>
      <c r="D263" s="11">
        <v>15.4</v>
      </c>
      <c r="E263" s="11">
        <v>394</v>
      </c>
      <c r="F263" s="11">
        <v>9.1</v>
      </c>
      <c r="G263" s="18">
        <v>87.1</v>
      </c>
      <c r="H263" s="15">
        <v>68.5</v>
      </c>
      <c r="I263" s="18">
        <v>29636</v>
      </c>
      <c r="J263" s="11">
        <v>1291</v>
      </c>
      <c r="K263" s="11">
        <v>18.420000000000002</v>
      </c>
      <c r="L263" s="11">
        <v>743</v>
      </c>
      <c r="M263" s="15">
        <v>1486</v>
      </c>
      <c r="N263" s="18">
        <v>937</v>
      </c>
      <c r="O263" s="11">
        <v>122</v>
      </c>
      <c r="P263" s="11">
        <v>3.28</v>
      </c>
      <c r="Q263" s="11">
        <v>95.9</v>
      </c>
      <c r="R263" s="15">
        <v>192</v>
      </c>
      <c r="S263" s="18">
        <v>50.8</v>
      </c>
      <c r="T263" s="11">
        <v>459196</v>
      </c>
      <c r="U263" s="16"/>
      <c r="V263" s="9"/>
      <c r="W263" s="17"/>
    </row>
    <row r="264" spans="1:23" x14ac:dyDescent="0.25">
      <c r="A264" s="9" t="s">
        <v>37</v>
      </c>
      <c r="B264" s="14">
        <v>455</v>
      </c>
      <c r="C264" s="10">
        <v>153</v>
      </c>
      <c r="D264" s="11">
        <v>13.3</v>
      </c>
      <c r="E264" s="11">
        <v>394</v>
      </c>
      <c r="F264" s="11">
        <v>8</v>
      </c>
      <c r="G264" s="18">
        <v>76.13</v>
      </c>
      <c r="H264" s="15">
        <v>59.5</v>
      </c>
      <c r="I264" s="18">
        <v>25473</v>
      </c>
      <c r="J264" s="11">
        <v>1121</v>
      </c>
      <c r="K264" s="11">
        <v>18.309999999999999</v>
      </c>
      <c r="L264" s="11">
        <v>642</v>
      </c>
      <c r="M264" s="15">
        <v>1285</v>
      </c>
      <c r="N264" s="18">
        <v>795</v>
      </c>
      <c r="O264" s="11">
        <v>104</v>
      </c>
      <c r="P264" s="11">
        <v>3.23</v>
      </c>
      <c r="Q264" s="11">
        <v>81.5</v>
      </c>
      <c r="R264" s="15">
        <v>163</v>
      </c>
      <c r="S264" s="18">
        <v>33.700000000000003</v>
      </c>
      <c r="T264" s="11">
        <v>386692</v>
      </c>
      <c r="U264" s="16"/>
      <c r="V264" s="9"/>
      <c r="W264" s="17"/>
    </row>
    <row r="265" spans="1:23" x14ac:dyDescent="0.25">
      <c r="A265" s="9" t="s">
        <v>37</v>
      </c>
      <c r="B265" s="14">
        <v>450</v>
      </c>
      <c r="C265" s="10">
        <v>152</v>
      </c>
      <c r="D265" s="11">
        <v>10.8</v>
      </c>
      <c r="E265" s="11">
        <v>394</v>
      </c>
      <c r="F265" s="11">
        <v>7.6</v>
      </c>
      <c r="G265" s="18">
        <v>66.45</v>
      </c>
      <c r="H265" s="15">
        <v>52.1</v>
      </c>
      <c r="I265" s="18">
        <v>21228</v>
      </c>
      <c r="J265" s="11">
        <v>944</v>
      </c>
      <c r="K265" s="11">
        <v>17.88</v>
      </c>
      <c r="L265" s="11">
        <v>545</v>
      </c>
      <c r="M265" s="15">
        <v>1090</v>
      </c>
      <c r="N265" s="18">
        <v>637</v>
      </c>
      <c r="O265" s="11">
        <v>84</v>
      </c>
      <c r="P265" s="11">
        <v>3.1</v>
      </c>
      <c r="Q265" s="11">
        <v>66</v>
      </c>
      <c r="R265" s="15">
        <v>132</v>
      </c>
      <c r="S265" s="18">
        <v>21.2</v>
      </c>
      <c r="T265" s="11">
        <v>306131</v>
      </c>
      <c r="U265" s="16"/>
      <c r="V265" s="9"/>
      <c r="W265" s="17"/>
    </row>
    <row r="266" spans="1:23" x14ac:dyDescent="0.25">
      <c r="A266" s="9" t="s">
        <v>37</v>
      </c>
      <c r="B266" s="14">
        <v>431</v>
      </c>
      <c r="C266" s="10">
        <v>265</v>
      </c>
      <c r="D266" s="11">
        <v>25</v>
      </c>
      <c r="E266" s="11">
        <v>346</v>
      </c>
      <c r="F266" s="11">
        <v>14.9</v>
      </c>
      <c r="G266" s="18">
        <v>189.7</v>
      </c>
      <c r="H266" s="15">
        <v>148.80000000000001</v>
      </c>
      <c r="I266" s="18">
        <v>62018</v>
      </c>
      <c r="J266" s="11">
        <v>2868</v>
      </c>
      <c r="K266" s="11">
        <v>18.03</v>
      </c>
      <c r="L266" s="11">
        <v>1622</v>
      </c>
      <c r="M266" s="15">
        <v>3245</v>
      </c>
      <c r="N266" s="18">
        <v>7742</v>
      </c>
      <c r="O266" s="11">
        <v>585</v>
      </c>
      <c r="P266" s="11">
        <v>6.38</v>
      </c>
      <c r="Q266" s="11">
        <v>450</v>
      </c>
      <c r="R266" s="15">
        <v>900</v>
      </c>
      <c r="S266" s="18">
        <v>322</v>
      </c>
      <c r="T266" s="11">
        <v>3195577</v>
      </c>
      <c r="U266" s="16"/>
      <c r="V266" s="9"/>
      <c r="W266" s="17"/>
    </row>
    <row r="267" spans="1:23" x14ac:dyDescent="0.25">
      <c r="A267" s="9" t="s">
        <v>37</v>
      </c>
      <c r="B267" s="14">
        <v>425</v>
      </c>
      <c r="C267" s="10">
        <v>263</v>
      </c>
      <c r="D267" s="11">
        <v>22.2</v>
      </c>
      <c r="E267" s="11">
        <v>346</v>
      </c>
      <c r="F267" s="11">
        <v>13.3</v>
      </c>
      <c r="G267" s="18">
        <v>169</v>
      </c>
      <c r="H267" s="15">
        <v>132.4</v>
      </c>
      <c r="I267" s="18">
        <v>54110</v>
      </c>
      <c r="J267" s="11">
        <v>2540</v>
      </c>
      <c r="K267" s="11">
        <v>17.91</v>
      </c>
      <c r="L267" s="11">
        <v>1434</v>
      </c>
      <c r="M267" s="15">
        <v>2868</v>
      </c>
      <c r="N267" s="18">
        <v>6785</v>
      </c>
      <c r="O267" s="11">
        <v>515</v>
      </c>
      <c r="P267" s="11">
        <v>6.32</v>
      </c>
      <c r="Q267" s="11">
        <v>394</v>
      </c>
      <c r="R267" s="15">
        <v>788</v>
      </c>
      <c r="S267" s="18">
        <v>227</v>
      </c>
      <c r="T267" s="11">
        <v>2739066</v>
      </c>
      <c r="U267" s="16"/>
      <c r="V267" s="9"/>
      <c r="W267" s="17"/>
    </row>
    <row r="268" spans="1:23" x14ac:dyDescent="0.25">
      <c r="A268" s="9" t="s">
        <v>37</v>
      </c>
      <c r="B268" s="14">
        <v>420</v>
      </c>
      <c r="C268" s="10">
        <v>261</v>
      </c>
      <c r="D268" s="11">
        <v>19.3</v>
      </c>
      <c r="E268" s="11">
        <v>346</v>
      </c>
      <c r="F268" s="11">
        <v>11.6</v>
      </c>
      <c r="G268" s="18">
        <v>145.80000000000001</v>
      </c>
      <c r="H268" s="15">
        <v>114.6</v>
      </c>
      <c r="I268" s="18">
        <v>46202</v>
      </c>
      <c r="J268" s="11">
        <v>2196</v>
      </c>
      <c r="K268" s="11">
        <v>17.78</v>
      </c>
      <c r="L268" s="11">
        <v>1229</v>
      </c>
      <c r="M268" s="15">
        <v>2458</v>
      </c>
      <c r="N268" s="18">
        <v>5744</v>
      </c>
      <c r="O268" s="11">
        <v>441</v>
      </c>
      <c r="P268" s="11">
        <v>6.27</v>
      </c>
      <c r="Q268" s="11">
        <v>337</v>
      </c>
      <c r="R268" s="15">
        <v>674</v>
      </c>
      <c r="S268" s="18">
        <v>149</v>
      </c>
      <c r="T268" s="11">
        <v>2306723</v>
      </c>
      <c r="U268" s="16"/>
      <c r="V268" s="9"/>
      <c r="W268" s="17"/>
    </row>
    <row r="269" spans="1:23" x14ac:dyDescent="0.25">
      <c r="A269" s="9" t="s">
        <v>37</v>
      </c>
      <c r="B269" s="14">
        <v>415</v>
      </c>
      <c r="C269" s="10">
        <v>260</v>
      </c>
      <c r="D269" s="11">
        <v>16.899999999999999</v>
      </c>
      <c r="E269" s="11">
        <v>346</v>
      </c>
      <c r="F269" s="11">
        <v>10</v>
      </c>
      <c r="G269" s="18">
        <v>127.1</v>
      </c>
      <c r="H269" s="15">
        <v>99.7</v>
      </c>
      <c r="I269" s="18">
        <v>39708</v>
      </c>
      <c r="J269" s="11">
        <v>1917</v>
      </c>
      <c r="K269" s="11">
        <v>17.68</v>
      </c>
      <c r="L269" s="11">
        <v>1065</v>
      </c>
      <c r="M269" s="15">
        <v>2130</v>
      </c>
      <c r="N269" s="18">
        <v>4953</v>
      </c>
      <c r="O269" s="11">
        <v>380</v>
      </c>
      <c r="P269" s="11">
        <v>6.25</v>
      </c>
      <c r="Q269" s="11">
        <v>291</v>
      </c>
      <c r="R269" s="15">
        <v>582</v>
      </c>
      <c r="S269" s="18">
        <v>99.5</v>
      </c>
      <c r="T269" s="11">
        <v>1960312</v>
      </c>
      <c r="U269" s="16"/>
      <c r="V269" s="9"/>
      <c r="W269" s="17"/>
    </row>
    <row r="270" spans="1:23" x14ac:dyDescent="0.25">
      <c r="A270" s="9" t="s">
        <v>37</v>
      </c>
      <c r="B270" s="14">
        <v>417</v>
      </c>
      <c r="C270" s="10">
        <v>181</v>
      </c>
      <c r="D270" s="11">
        <v>18.2</v>
      </c>
      <c r="E270" s="11">
        <v>346</v>
      </c>
      <c r="F270" s="11">
        <v>10.9</v>
      </c>
      <c r="G270" s="18">
        <v>108.4</v>
      </c>
      <c r="H270" s="15">
        <v>84.8</v>
      </c>
      <c r="I270" s="18">
        <v>31550</v>
      </c>
      <c r="J270" s="11">
        <v>1511</v>
      </c>
      <c r="K270" s="11">
        <v>17.07</v>
      </c>
      <c r="L270" s="11">
        <v>860</v>
      </c>
      <c r="M270" s="15">
        <v>1721</v>
      </c>
      <c r="N270" s="18">
        <v>1794</v>
      </c>
      <c r="O270" s="11">
        <v>198</v>
      </c>
      <c r="P270" s="11">
        <v>4.0599999999999996</v>
      </c>
      <c r="Q270" s="11">
        <v>155</v>
      </c>
      <c r="R270" s="15">
        <v>310</v>
      </c>
      <c r="S270" s="18">
        <v>92.4</v>
      </c>
      <c r="T270" s="11">
        <v>714305</v>
      </c>
      <c r="U270" s="16"/>
      <c r="V270" s="9"/>
      <c r="W270" s="17"/>
    </row>
    <row r="271" spans="1:23" x14ac:dyDescent="0.25">
      <c r="A271" s="9" t="s">
        <v>37</v>
      </c>
      <c r="B271" s="14">
        <v>413</v>
      </c>
      <c r="C271" s="10">
        <v>180</v>
      </c>
      <c r="D271" s="11">
        <v>16</v>
      </c>
      <c r="E271" s="11">
        <v>346</v>
      </c>
      <c r="F271" s="11">
        <v>9.65</v>
      </c>
      <c r="G271" s="18">
        <v>94.8</v>
      </c>
      <c r="H271" s="15">
        <v>74.400000000000006</v>
      </c>
      <c r="I271" s="18">
        <v>27430</v>
      </c>
      <c r="J271" s="11">
        <v>1327</v>
      </c>
      <c r="K271" s="11">
        <v>16.97</v>
      </c>
      <c r="L271" s="11">
        <v>754</v>
      </c>
      <c r="M271" s="15">
        <v>1508</v>
      </c>
      <c r="N271" s="18">
        <v>1548</v>
      </c>
      <c r="O271" s="11">
        <v>172</v>
      </c>
      <c r="P271" s="11">
        <v>4.04</v>
      </c>
      <c r="Q271" s="11">
        <v>134</v>
      </c>
      <c r="R271" s="15">
        <v>267</v>
      </c>
      <c r="S271" s="18">
        <v>63.3</v>
      </c>
      <c r="T271" s="11">
        <v>609576</v>
      </c>
      <c r="U271" s="16"/>
      <c r="V271" s="9"/>
      <c r="W271" s="17"/>
    </row>
    <row r="272" spans="1:23" x14ac:dyDescent="0.25">
      <c r="A272" s="9" t="s">
        <v>37</v>
      </c>
      <c r="B272" s="14">
        <v>410</v>
      </c>
      <c r="C272" s="10">
        <v>179</v>
      </c>
      <c r="D272" s="11">
        <v>14.4</v>
      </c>
      <c r="E272" s="11">
        <v>346</v>
      </c>
      <c r="F272" s="11">
        <v>8.76</v>
      </c>
      <c r="G272" s="18">
        <v>85.8</v>
      </c>
      <c r="H272" s="15">
        <v>67</v>
      </c>
      <c r="I272" s="18">
        <v>24391</v>
      </c>
      <c r="J272" s="11">
        <v>1191</v>
      </c>
      <c r="K272" s="11">
        <v>16.89</v>
      </c>
      <c r="L272" s="11">
        <v>674</v>
      </c>
      <c r="M272" s="15">
        <v>1349</v>
      </c>
      <c r="N272" s="18">
        <v>1365</v>
      </c>
      <c r="O272" s="11">
        <v>153</v>
      </c>
      <c r="P272" s="11">
        <v>3.99</v>
      </c>
      <c r="Q272" s="11">
        <v>119</v>
      </c>
      <c r="R272" s="15">
        <v>238</v>
      </c>
      <c r="S272" s="18">
        <v>46.2</v>
      </c>
      <c r="T272" s="11">
        <v>534386</v>
      </c>
      <c r="U272" s="16"/>
      <c r="V272" s="9"/>
      <c r="W272" s="17"/>
    </row>
    <row r="273" spans="1:23" x14ac:dyDescent="0.25">
      <c r="A273" s="9" t="s">
        <v>37</v>
      </c>
      <c r="B273" s="14">
        <v>407</v>
      </c>
      <c r="C273" s="10">
        <v>178</v>
      </c>
      <c r="D273" s="11">
        <v>12.8</v>
      </c>
      <c r="E273" s="11">
        <v>346</v>
      </c>
      <c r="F273" s="11">
        <v>7.75</v>
      </c>
      <c r="G273" s="18">
        <v>76.099999999999994</v>
      </c>
      <c r="H273" s="15">
        <v>59.5</v>
      </c>
      <c r="I273" s="18">
        <v>21561</v>
      </c>
      <c r="J273" s="11">
        <v>1060</v>
      </c>
      <c r="K273" s="11">
        <v>16.84</v>
      </c>
      <c r="L273" s="11">
        <v>597</v>
      </c>
      <c r="M273" s="15">
        <v>1195</v>
      </c>
      <c r="N273" s="18">
        <v>1203</v>
      </c>
      <c r="O273" s="11">
        <v>135</v>
      </c>
      <c r="P273" s="11">
        <v>3.99</v>
      </c>
      <c r="Q273" s="11">
        <v>104</v>
      </c>
      <c r="R273" s="15">
        <v>208</v>
      </c>
      <c r="S273" s="18">
        <v>32.9</v>
      </c>
      <c r="T273" s="11">
        <v>464567</v>
      </c>
      <c r="U273" s="16"/>
      <c r="V273" s="9"/>
      <c r="W273" s="17"/>
    </row>
    <row r="274" spans="1:23" x14ac:dyDescent="0.25">
      <c r="A274" s="9" t="s">
        <v>37</v>
      </c>
      <c r="B274" s="14">
        <v>403</v>
      </c>
      <c r="C274" s="10">
        <v>177</v>
      </c>
      <c r="D274" s="11">
        <v>10.9</v>
      </c>
      <c r="E274" s="11">
        <v>346</v>
      </c>
      <c r="F274" s="11">
        <v>7.49</v>
      </c>
      <c r="G274" s="18">
        <v>68.400000000000006</v>
      </c>
      <c r="H274" s="15">
        <v>53.6</v>
      </c>
      <c r="I274" s="18">
        <v>18647</v>
      </c>
      <c r="J274" s="11">
        <v>926</v>
      </c>
      <c r="K274" s="11">
        <v>16.54</v>
      </c>
      <c r="L274" s="11">
        <v>524</v>
      </c>
      <c r="M274" s="15">
        <v>1049</v>
      </c>
      <c r="N274" s="18">
        <v>1020</v>
      </c>
      <c r="O274" s="11">
        <v>115</v>
      </c>
      <c r="P274" s="11">
        <v>3.86</v>
      </c>
      <c r="Q274" s="11">
        <v>88.5</v>
      </c>
      <c r="R274" s="15">
        <v>177</v>
      </c>
      <c r="S274" s="18">
        <v>22.5</v>
      </c>
      <c r="T274" s="11">
        <v>392062</v>
      </c>
      <c r="U274" s="16"/>
      <c r="V274" s="9"/>
      <c r="W274" s="17"/>
    </row>
    <row r="275" spans="1:23" x14ac:dyDescent="0.25">
      <c r="A275" s="9" t="s">
        <v>37</v>
      </c>
      <c r="B275" s="14">
        <v>403</v>
      </c>
      <c r="C275" s="10">
        <v>140</v>
      </c>
      <c r="D275" s="11">
        <v>11.2</v>
      </c>
      <c r="E275" s="11">
        <v>346</v>
      </c>
      <c r="F275" s="11">
        <v>6.99</v>
      </c>
      <c r="G275" s="18">
        <v>58.8</v>
      </c>
      <c r="H275" s="15">
        <v>46.1</v>
      </c>
      <c r="I275" s="18">
        <v>15609</v>
      </c>
      <c r="J275" s="11">
        <v>773</v>
      </c>
      <c r="K275" s="11">
        <v>16.28</v>
      </c>
      <c r="L275" s="11">
        <v>442</v>
      </c>
      <c r="M275" s="15">
        <v>885</v>
      </c>
      <c r="N275" s="18">
        <v>516</v>
      </c>
      <c r="O275" s="11">
        <v>73.599999999999994</v>
      </c>
      <c r="P275" s="11">
        <v>2.97</v>
      </c>
      <c r="Q275" s="11">
        <v>57.4</v>
      </c>
      <c r="R275" s="15">
        <v>115</v>
      </c>
      <c r="S275" s="18">
        <v>19.100000000000001</v>
      </c>
      <c r="T275" s="11">
        <v>198448</v>
      </c>
      <c r="U275" s="16"/>
      <c r="V275" s="9"/>
      <c r="W275" s="17"/>
    </row>
    <row r="276" spans="1:23" x14ac:dyDescent="0.25">
      <c r="A276" s="9" t="s">
        <v>37</v>
      </c>
      <c r="B276" s="14">
        <v>399</v>
      </c>
      <c r="C276" s="10">
        <v>140</v>
      </c>
      <c r="D276" s="11">
        <v>8.76</v>
      </c>
      <c r="E276" s="11">
        <v>346</v>
      </c>
      <c r="F276" s="11">
        <v>6.35</v>
      </c>
      <c r="G276" s="18">
        <v>49.5</v>
      </c>
      <c r="H276" s="15">
        <v>38.700000000000003</v>
      </c>
      <c r="I276" s="18">
        <v>12529</v>
      </c>
      <c r="J276" s="11">
        <v>629</v>
      </c>
      <c r="K276" s="11">
        <v>15.9</v>
      </c>
      <c r="L276" s="11">
        <v>362</v>
      </c>
      <c r="M276" s="15">
        <v>724</v>
      </c>
      <c r="N276" s="18">
        <v>399</v>
      </c>
      <c r="O276" s="11">
        <v>57.2</v>
      </c>
      <c r="P276" s="11">
        <v>2.84</v>
      </c>
      <c r="Q276" s="11">
        <v>44.9</v>
      </c>
      <c r="R276" s="15">
        <v>89.8</v>
      </c>
      <c r="S276" s="18">
        <v>10.8</v>
      </c>
      <c r="T276" s="11">
        <v>151723</v>
      </c>
      <c r="U276" s="16"/>
      <c r="V276" s="9"/>
      <c r="W276" s="17"/>
    </row>
    <row r="277" spans="1:23" x14ac:dyDescent="0.25">
      <c r="A277" s="9" t="s">
        <v>37</v>
      </c>
      <c r="B277" s="14">
        <v>580</v>
      </c>
      <c r="C277" s="10">
        <v>471</v>
      </c>
      <c r="D277" s="11">
        <v>130</v>
      </c>
      <c r="E277" s="11">
        <v>286</v>
      </c>
      <c r="F277" s="11">
        <v>95</v>
      </c>
      <c r="G277" s="18">
        <v>1529</v>
      </c>
      <c r="H277" s="15">
        <v>1202</v>
      </c>
      <c r="I277" s="18">
        <v>665970</v>
      </c>
      <c r="J277" s="11">
        <v>22942</v>
      </c>
      <c r="K277" s="11">
        <v>20.85</v>
      </c>
      <c r="L277" s="11">
        <v>15027</v>
      </c>
      <c r="M277" s="15">
        <v>30054</v>
      </c>
      <c r="N277" s="18">
        <v>229344</v>
      </c>
      <c r="O277" s="11">
        <v>9734</v>
      </c>
      <c r="P277" s="11">
        <v>12.24</v>
      </c>
      <c r="Q277" s="11">
        <v>7595</v>
      </c>
      <c r="R277" s="15">
        <v>15191</v>
      </c>
      <c r="S277" s="18">
        <v>77419</v>
      </c>
      <c r="T277" s="11">
        <v>116276030</v>
      </c>
      <c r="U277" s="16"/>
      <c r="V277" s="9"/>
      <c r="W277" s="17"/>
    </row>
    <row r="278" spans="1:23" x14ac:dyDescent="0.25">
      <c r="A278" s="9" t="s">
        <v>37</v>
      </c>
      <c r="B278" s="14">
        <v>569</v>
      </c>
      <c r="C278" s="10">
        <v>454</v>
      </c>
      <c r="D278" s="11">
        <v>124.7</v>
      </c>
      <c r="E278" s="11">
        <v>286</v>
      </c>
      <c r="F278" s="11">
        <v>78</v>
      </c>
      <c r="G278" s="18">
        <v>1387</v>
      </c>
      <c r="H278" s="15">
        <v>1086</v>
      </c>
      <c r="I278" s="18">
        <v>595211</v>
      </c>
      <c r="J278" s="11">
        <v>20975</v>
      </c>
      <c r="K278" s="11">
        <v>20.75</v>
      </c>
      <c r="L278" s="11">
        <v>13601</v>
      </c>
      <c r="M278" s="15">
        <v>27203</v>
      </c>
      <c r="N278" s="18">
        <v>196461</v>
      </c>
      <c r="O278" s="11">
        <v>8636</v>
      </c>
      <c r="P278" s="11">
        <v>11.91</v>
      </c>
      <c r="Q278" s="11">
        <v>6686</v>
      </c>
      <c r="R278" s="15">
        <v>13372</v>
      </c>
      <c r="S278" s="18">
        <v>60354</v>
      </c>
      <c r="T278" s="11">
        <v>97209984</v>
      </c>
      <c r="U278" s="16"/>
      <c r="V278" s="9"/>
      <c r="W278" s="17"/>
    </row>
    <row r="279" spans="1:23" x14ac:dyDescent="0.25">
      <c r="A279" s="9" t="s">
        <v>37</v>
      </c>
      <c r="B279" s="14">
        <v>550</v>
      </c>
      <c r="C279" s="10">
        <v>448</v>
      </c>
      <c r="D279" s="11">
        <v>114.8</v>
      </c>
      <c r="E279" s="11">
        <v>286</v>
      </c>
      <c r="F279" s="11">
        <v>71.900000000000006</v>
      </c>
      <c r="G279" s="18">
        <v>1265</v>
      </c>
      <c r="H279" s="15">
        <v>989.6</v>
      </c>
      <c r="I279" s="18">
        <v>516127</v>
      </c>
      <c r="J279" s="11">
        <v>18845</v>
      </c>
      <c r="K279" s="11">
        <v>20.27</v>
      </c>
      <c r="L279" s="11">
        <v>12126</v>
      </c>
      <c r="M279" s="15">
        <v>24253</v>
      </c>
      <c r="N279" s="18">
        <v>173569</v>
      </c>
      <c r="O279" s="11">
        <v>7735</v>
      </c>
      <c r="P279" s="11">
        <v>11.73</v>
      </c>
      <c r="Q279" s="11">
        <v>5981</v>
      </c>
      <c r="R279" s="15">
        <v>11963</v>
      </c>
      <c r="S279" s="18">
        <v>46618</v>
      </c>
      <c r="T279" s="11">
        <v>81903439</v>
      </c>
      <c r="U279" s="16"/>
      <c r="V279" s="9"/>
      <c r="W279" s="17"/>
    </row>
    <row r="280" spans="1:23" x14ac:dyDescent="0.25">
      <c r="A280" s="9" t="s">
        <v>37</v>
      </c>
      <c r="B280" s="14">
        <v>531</v>
      </c>
      <c r="C280" s="10">
        <v>442</v>
      </c>
      <c r="D280" s="11">
        <v>105.7</v>
      </c>
      <c r="E280" s="11">
        <v>286</v>
      </c>
      <c r="F280" s="11">
        <v>65.900000000000006</v>
      </c>
      <c r="G280" s="18">
        <v>1148</v>
      </c>
      <c r="H280" s="15">
        <v>900.3</v>
      </c>
      <c r="I280" s="18">
        <v>449530</v>
      </c>
      <c r="J280" s="11">
        <v>17043</v>
      </c>
      <c r="K280" s="11">
        <v>19.809999999999999</v>
      </c>
      <c r="L280" s="11">
        <v>10815</v>
      </c>
      <c r="M280" s="15">
        <v>21631</v>
      </c>
      <c r="N280" s="18">
        <v>153173</v>
      </c>
      <c r="O280" s="11">
        <v>6932</v>
      </c>
      <c r="P280" s="11">
        <v>11.56</v>
      </c>
      <c r="Q280" s="11">
        <v>5342</v>
      </c>
      <c r="R280" s="15">
        <v>10684</v>
      </c>
      <c r="S280" s="18">
        <v>36212</v>
      </c>
      <c r="T280" s="11">
        <v>69282254</v>
      </c>
      <c r="U280" s="16"/>
      <c r="V280" s="9"/>
      <c r="W280" s="17"/>
    </row>
    <row r="281" spans="1:23" x14ac:dyDescent="0.25">
      <c r="A281" s="9" t="s">
        <v>37</v>
      </c>
      <c r="B281" s="14">
        <v>514</v>
      </c>
      <c r="C281" s="10">
        <v>437</v>
      </c>
      <c r="D281" s="11">
        <v>97</v>
      </c>
      <c r="E281" s="11">
        <v>286</v>
      </c>
      <c r="F281" s="11">
        <v>60.5</v>
      </c>
      <c r="G281" s="18">
        <v>1045</v>
      </c>
      <c r="H281" s="15">
        <v>818.5</v>
      </c>
      <c r="I281" s="18">
        <v>392506</v>
      </c>
      <c r="J281" s="11">
        <v>15256</v>
      </c>
      <c r="K281" s="11">
        <v>19.38</v>
      </c>
      <c r="L281" s="11">
        <v>9668</v>
      </c>
      <c r="M281" s="15">
        <v>19337</v>
      </c>
      <c r="N281" s="18">
        <v>135275</v>
      </c>
      <c r="O281" s="11">
        <v>6194</v>
      </c>
      <c r="P281" s="11">
        <v>11.4</v>
      </c>
      <c r="Q281" s="11">
        <v>4777</v>
      </c>
      <c r="R281" s="15">
        <v>9554</v>
      </c>
      <c r="S281" s="18">
        <v>27888</v>
      </c>
      <c r="T281" s="11">
        <v>58809355</v>
      </c>
      <c r="U281" s="16"/>
      <c r="V281" s="9"/>
      <c r="W281" s="17"/>
    </row>
    <row r="282" spans="1:23" x14ac:dyDescent="0.25">
      <c r="A282" s="9" t="s">
        <v>37</v>
      </c>
      <c r="B282" s="14">
        <v>498</v>
      </c>
      <c r="C282" s="10">
        <v>432</v>
      </c>
      <c r="D282" s="11">
        <v>88.9</v>
      </c>
      <c r="E282" s="11">
        <v>286</v>
      </c>
      <c r="F282" s="11">
        <v>55.6</v>
      </c>
      <c r="G282" s="18">
        <v>948.4</v>
      </c>
      <c r="H282" s="15">
        <v>744.1</v>
      </c>
      <c r="I282" s="18">
        <v>341726</v>
      </c>
      <c r="J282" s="11">
        <v>13732</v>
      </c>
      <c r="K282" s="11">
        <v>19</v>
      </c>
      <c r="L282" s="11">
        <v>8603</v>
      </c>
      <c r="M282" s="15">
        <v>17206</v>
      </c>
      <c r="N282" s="18">
        <v>119875</v>
      </c>
      <c r="O282" s="11">
        <v>5555</v>
      </c>
      <c r="P282" s="11">
        <v>11.25</v>
      </c>
      <c r="Q282" s="11">
        <v>4277</v>
      </c>
      <c r="R282" s="15">
        <v>8554</v>
      </c>
      <c r="S282" s="18">
        <v>21394</v>
      </c>
      <c r="T282" s="11">
        <v>50216207</v>
      </c>
      <c r="U282" s="16"/>
      <c r="V282" s="9"/>
      <c r="W282" s="17"/>
    </row>
    <row r="283" spans="1:23" x14ac:dyDescent="0.25">
      <c r="A283" s="9" t="s">
        <v>37</v>
      </c>
      <c r="B283" s="14">
        <v>483</v>
      </c>
      <c r="C283" s="10">
        <v>428</v>
      </c>
      <c r="D283" s="11">
        <v>81.5</v>
      </c>
      <c r="E283" s="11">
        <v>286</v>
      </c>
      <c r="F283" s="11">
        <v>51.2</v>
      </c>
      <c r="G283" s="18">
        <v>864.5</v>
      </c>
      <c r="H283" s="15">
        <v>677.1</v>
      </c>
      <c r="I283" s="18">
        <v>299270</v>
      </c>
      <c r="J283" s="11">
        <v>12389</v>
      </c>
      <c r="K283" s="11">
        <v>18.62</v>
      </c>
      <c r="L283" s="11">
        <v>7669</v>
      </c>
      <c r="M283" s="15">
        <v>15338</v>
      </c>
      <c r="N283" s="18">
        <v>106555</v>
      </c>
      <c r="O283" s="11">
        <v>4982</v>
      </c>
      <c r="P283" s="11">
        <v>11.13</v>
      </c>
      <c r="Q283" s="11">
        <v>3835</v>
      </c>
      <c r="R283" s="15">
        <v>7669</v>
      </c>
      <c r="S283" s="18">
        <v>16441</v>
      </c>
      <c r="T283" s="11">
        <v>42965739</v>
      </c>
      <c r="U283" s="16"/>
      <c r="V283" s="9"/>
      <c r="W283" s="17"/>
    </row>
    <row r="284" spans="1:23" x14ac:dyDescent="0.25">
      <c r="A284" s="9" t="s">
        <v>37</v>
      </c>
      <c r="B284" s="14">
        <v>474</v>
      </c>
      <c r="C284" s="10">
        <v>424</v>
      </c>
      <c r="D284" s="11">
        <v>77.099999999999994</v>
      </c>
      <c r="E284" s="11">
        <v>286</v>
      </c>
      <c r="F284" s="11">
        <v>47.6</v>
      </c>
      <c r="G284" s="18">
        <v>806.5</v>
      </c>
      <c r="H284" s="15">
        <v>634</v>
      </c>
      <c r="I284" s="18">
        <v>274713</v>
      </c>
      <c r="J284" s="11">
        <v>11586</v>
      </c>
      <c r="K284" s="11">
        <v>18.440000000000001</v>
      </c>
      <c r="L284" s="11">
        <v>7120</v>
      </c>
      <c r="M284" s="15">
        <v>14240</v>
      </c>
      <c r="N284" s="18">
        <v>98231</v>
      </c>
      <c r="O284" s="11">
        <v>4638</v>
      </c>
      <c r="P284" s="11">
        <v>11.02</v>
      </c>
      <c r="Q284" s="11">
        <v>3556</v>
      </c>
      <c r="R284" s="15">
        <v>7112</v>
      </c>
      <c r="S284" s="18">
        <v>13777</v>
      </c>
      <c r="T284" s="11">
        <v>38669165</v>
      </c>
      <c r="U284" s="16"/>
      <c r="V284" s="9"/>
      <c r="W284" s="17"/>
    </row>
    <row r="285" spans="1:23" x14ac:dyDescent="0.25">
      <c r="A285" s="9" t="s">
        <v>37</v>
      </c>
      <c r="B285" s="14">
        <v>465</v>
      </c>
      <c r="C285" s="10">
        <v>421</v>
      </c>
      <c r="D285" s="11">
        <v>72.3</v>
      </c>
      <c r="E285" s="11">
        <v>286</v>
      </c>
      <c r="F285" s="11">
        <v>45</v>
      </c>
      <c r="G285" s="18">
        <v>754.8</v>
      </c>
      <c r="H285" s="15">
        <v>592.29999999999995</v>
      </c>
      <c r="I285" s="18">
        <v>249739</v>
      </c>
      <c r="J285" s="11">
        <v>10750</v>
      </c>
      <c r="K285" s="11">
        <v>18.190000000000001</v>
      </c>
      <c r="L285" s="11">
        <v>6563</v>
      </c>
      <c r="M285" s="15">
        <v>13126</v>
      </c>
      <c r="N285" s="18">
        <v>90322</v>
      </c>
      <c r="O285" s="11">
        <v>4293</v>
      </c>
      <c r="P285" s="11">
        <v>10.95</v>
      </c>
      <c r="Q285" s="11">
        <v>3294</v>
      </c>
      <c r="R285" s="15">
        <v>6588</v>
      </c>
      <c r="S285" s="18">
        <v>11363</v>
      </c>
      <c r="T285" s="11">
        <v>34641127</v>
      </c>
      <c r="U285" s="16"/>
      <c r="V285" s="9"/>
      <c r="W285" s="17"/>
    </row>
    <row r="286" spans="1:23" x14ac:dyDescent="0.25">
      <c r="A286" s="9" t="s">
        <v>37</v>
      </c>
      <c r="B286" s="14">
        <v>455</v>
      </c>
      <c r="C286" s="10">
        <v>418</v>
      </c>
      <c r="D286" s="11">
        <v>67.599999999999994</v>
      </c>
      <c r="E286" s="11">
        <v>286</v>
      </c>
      <c r="F286" s="11">
        <v>42</v>
      </c>
      <c r="G286" s="18">
        <v>703.2</v>
      </c>
      <c r="H286" s="15">
        <v>550.6</v>
      </c>
      <c r="I286" s="18">
        <v>226430</v>
      </c>
      <c r="J286" s="11">
        <v>9947</v>
      </c>
      <c r="K286" s="11">
        <v>17.96</v>
      </c>
      <c r="L286" s="11">
        <v>6030</v>
      </c>
      <c r="M286" s="15">
        <v>12061</v>
      </c>
      <c r="N286" s="18">
        <v>82830</v>
      </c>
      <c r="O286" s="11">
        <v>3949</v>
      </c>
      <c r="P286" s="11">
        <v>10.85</v>
      </c>
      <c r="Q286" s="11">
        <v>3032</v>
      </c>
      <c r="R286" s="15">
        <v>6063</v>
      </c>
      <c r="S286" s="18">
        <v>9240</v>
      </c>
      <c r="T286" s="11">
        <v>31150161</v>
      </c>
      <c r="U286" s="16"/>
      <c r="V286" s="9"/>
      <c r="W286" s="17"/>
    </row>
    <row r="287" spans="1:23" x14ac:dyDescent="0.25">
      <c r="A287" s="9" t="s">
        <v>37</v>
      </c>
      <c r="B287" s="14">
        <v>446</v>
      </c>
      <c r="C287" s="10">
        <v>416</v>
      </c>
      <c r="D287" s="11">
        <v>62.7</v>
      </c>
      <c r="E287" s="11">
        <v>286</v>
      </c>
      <c r="F287" s="11">
        <v>39.1</v>
      </c>
      <c r="G287" s="18">
        <v>651.6</v>
      </c>
      <c r="H287" s="15">
        <v>509</v>
      </c>
      <c r="I287" s="18">
        <v>203953</v>
      </c>
      <c r="J287" s="11">
        <v>9160</v>
      </c>
      <c r="K287" s="11">
        <v>17.73</v>
      </c>
      <c r="L287" s="11">
        <v>5506</v>
      </c>
      <c r="M287" s="15">
        <v>11012</v>
      </c>
      <c r="N287" s="18">
        <v>75338</v>
      </c>
      <c r="O287" s="11">
        <v>3622</v>
      </c>
      <c r="P287" s="11">
        <v>10.77</v>
      </c>
      <c r="Q287" s="11">
        <v>2769</v>
      </c>
      <c r="R287" s="15">
        <v>5539</v>
      </c>
      <c r="S287" s="18">
        <v>7409</v>
      </c>
      <c r="T287" s="11">
        <v>27659194</v>
      </c>
      <c r="U287" s="16"/>
      <c r="V287" s="9"/>
      <c r="W287" s="17"/>
    </row>
    <row r="288" spans="1:23" x14ac:dyDescent="0.25">
      <c r="A288" s="9" t="s">
        <v>37</v>
      </c>
      <c r="B288" s="14">
        <v>435</v>
      </c>
      <c r="C288" s="10">
        <v>412</v>
      </c>
      <c r="D288" s="11">
        <v>57.4</v>
      </c>
      <c r="E288" s="11">
        <v>286</v>
      </c>
      <c r="F288" s="11">
        <v>35.799999999999997</v>
      </c>
      <c r="G288" s="18">
        <v>589.70000000000005</v>
      </c>
      <c r="H288" s="15">
        <v>462.8</v>
      </c>
      <c r="I288" s="18">
        <v>180228</v>
      </c>
      <c r="J288" s="11">
        <v>8292</v>
      </c>
      <c r="K288" s="11">
        <v>17.48</v>
      </c>
      <c r="L288" s="11">
        <v>4941</v>
      </c>
      <c r="M288" s="15">
        <v>9881</v>
      </c>
      <c r="N288" s="18">
        <v>67013</v>
      </c>
      <c r="O288" s="11">
        <v>3261</v>
      </c>
      <c r="P288" s="11">
        <v>10.67</v>
      </c>
      <c r="Q288" s="11">
        <v>2491</v>
      </c>
      <c r="R288" s="15">
        <v>4982</v>
      </c>
      <c r="S288" s="18">
        <v>5661</v>
      </c>
      <c r="T288" s="11">
        <v>23926546</v>
      </c>
      <c r="U288" s="16"/>
      <c r="V288" s="9"/>
      <c r="W288" s="17"/>
    </row>
    <row r="289" spans="1:23" x14ac:dyDescent="0.25">
      <c r="A289" s="9" t="s">
        <v>37</v>
      </c>
      <c r="B289" s="14">
        <v>425</v>
      </c>
      <c r="C289" s="10">
        <v>409</v>
      </c>
      <c r="D289" s="11">
        <v>52.6</v>
      </c>
      <c r="E289" s="11">
        <v>286</v>
      </c>
      <c r="F289" s="11">
        <v>32.799999999999997</v>
      </c>
      <c r="G289" s="18">
        <v>537.4</v>
      </c>
      <c r="H289" s="15">
        <v>421.2</v>
      </c>
      <c r="I289" s="18">
        <v>159833</v>
      </c>
      <c r="J289" s="11">
        <v>7522</v>
      </c>
      <c r="K289" s="11">
        <v>17.25</v>
      </c>
      <c r="L289" s="11">
        <v>4441</v>
      </c>
      <c r="M289" s="15">
        <v>8882</v>
      </c>
      <c r="N289" s="18">
        <v>59937</v>
      </c>
      <c r="O289" s="11">
        <v>2933</v>
      </c>
      <c r="P289" s="11">
        <v>10.59</v>
      </c>
      <c r="Q289" s="11">
        <v>2245</v>
      </c>
      <c r="R289" s="15">
        <v>4490</v>
      </c>
      <c r="S289" s="18">
        <v>4329</v>
      </c>
      <c r="T289" s="11">
        <v>20865237</v>
      </c>
      <c r="U289" s="16"/>
      <c r="V289" s="9"/>
      <c r="W289" s="17"/>
    </row>
    <row r="290" spans="1:23" x14ac:dyDescent="0.25">
      <c r="A290" s="9" t="s">
        <v>37</v>
      </c>
      <c r="B290" s="14">
        <v>416</v>
      </c>
      <c r="C290" s="10">
        <v>406</v>
      </c>
      <c r="D290" s="11">
        <v>48</v>
      </c>
      <c r="E290" s="11">
        <v>286</v>
      </c>
      <c r="F290" s="11">
        <v>29.8</v>
      </c>
      <c r="G290" s="18">
        <v>487.7</v>
      </c>
      <c r="H290" s="15">
        <v>382.5</v>
      </c>
      <c r="I290" s="18">
        <v>141519</v>
      </c>
      <c r="J290" s="11">
        <v>6801</v>
      </c>
      <c r="K290" s="11">
        <v>17.04</v>
      </c>
      <c r="L290" s="11">
        <v>3990</v>
      </c>
      <c r="M290" s="15">
        <v>7981</v>
      </c>
      <c r="N290" s="18">
        <v>53694</v>
      </c>
      <c r="O290" s="11">
        <v>2638</v>
      </c>
      <c r="P290" s="11">
        <v>10.49</v>
      </c>
      <c r="Q290" s="11">
        <v>2016</v>
      </c>
      <c r="R290" s="15">
        <v>4031</v>
      </c>
      <c r="S290" s="18">
        <v>3292</v>
      </c>
      <c r="T290" s="11">
        <v>18206732</v>
      </c>
      <c r="U290" s="16"/>
      <c r="V290" s="9"/>
      <c r="W290" s="17"/>
    </row>
    <row r="291" spans="1:23" x14ac:dyDescent="0.25">
      <c r="A291" s="9" t="s">
        <v>37</v>
      </c>
      <c r="B291" s="14">
        <v>407</v>
      </c>
      <c r="C291" s="10">
        <v>404</v>
      </c>
      <c r="D291" s="11">
        <v>43.7</v>
      </c>
      <c r="E291" s="11">
        <v>286</v>
      </c>
      <c r="F291" s="11">
        <v>27.2</v>
      </c>
      <c r="G291" s="18">
        <v>441.9</v>
      </c>
      <c r="H291" s="15">
        <v>346.7</v>
      </c>
      <c r="I291" s="18">
        <v>125286</v>
      </c>
      <c r="J291" s="11">
        <v>6145</v>
      </c>
      <c r="K291" s="11">
        <v>16.84</v>
      </c>
      <c r="L291" s="11">
        <v>3572</v>
      </c>
      <c r="M291" s="15">
        <v>7145</v>
      </c>
      <c r="N291" s="18">
        <v>47867</v>
      </c>
      <c r="O291" s="11">
        <v>2376</v>
      </c>
      <c r="P291" s="11">
        <v>10.41</v>
      </c>
      <c r="Q291" s="11">
        <v>1811</v>
      </c>
      <c r="R291" s="15">
        <v>3622</v>
      </c>
      <c r="S291" s="18">
        <v>2477</v>
      </c>
      <c r="T291" s="11">
        <v>15843616</v>
      </c>
      <c r="U291" s="16"/>
      <c r="V291" s="9"/>
      <c r="W291" s="17"/>
    </row>
    <row r="292" spans="1:23" x14ac:dyDescent="0.25">
      <c r="A292" s="9" t="s">
        <v>37</v>
      </c>
      <c r="B292" s="14">
        <v>399</v>
      </c>
      <c r="C292" s="10">
        <v>401</v>
      </c>
      <c r="D292" s="11">
        <v>39.6</v>
      </c>
      <c r="E292" s="11">
        <v>286</v>
      </c>
      <c r="F292" s="11">
        <v>24.9</v>
      </c>
      <c r="G292" s="18">
        <v>400</v>
      </c>
      <c r="H292" s="15">
        <v>314</v>
      </c>
      <c r="I292" s="18">
        <v>110718</v>
      </c>
      <c r="J292" s="11">
        <v>5539</v>
      </c>
      <c r="K292" s="11">
        <v>16.64</v>
      </c>
      <c r="L292" s="11">
        <v>3195</v>
      </c>
      <c r="M292" s="15">
        <v>6391</v>
      </c>
      <c r="N292" s="18">
        <v>42872</v>
      </c>
      <c r="O292" s="11">
        <v>2130</v>
      </c>
      <c r="P292" s="11">
        <v>10.34</v>
      </c>
      <c r="Q292" s="11">
        <v>1622</v>
      </c>
      <c r="R292" s="15">
        <v>3245</v>
      </c>
      <c r="S292" s="18">
        <v>1856</v>
      </c>
      <c r="T292" s="11">
        <v>13829597</v>
      </c>
      <c r="U292" s="16"/>
      <c r="V292" s="9"/>
      <c r="W292" s="17"/>
    </row>
    <row r="293" spans="1:23" x14ac:dyDescent="0.25">
      <c r="A293" s="9" t="s">
        <v>37</v>
      </c>
      <c r="B293" s="14">
        <v>393</v>
      </c>
      <c r="C293" s="10">
        <v>399</v>
      </c>
      <c r="D293" s="11">
        <v>36.6</v>
      </c>
      <c r="E293" s="11">
        <v>286</v>
      </c>
      <c r="F293" s="11">
        <v>22.6</v>
      </c>
      <c r="G293" s="18">
        <v>366.5</v>
      </c>
      <c r="H293" s="15">
        <v>287.2</v>
      </c>
      <c r="I293" s="18">
        <v>99896</v>
      </c>
      <c r="J293" s="11">
        <v>5080</v>
      </c>
      <c r="K293" s="11">
        <v>16.510000000000002</v>
      </c>
      <c r="L293" s="11">
        <v>2909</v>
      </c>
      <c r="M293" s="15">
        <v>5817</v>
      </c>
      <c r="N293" s="18">
        <v>38751</v>
      </c>
      <c r="O293" s="11">
        <v>1950</v>
      </c>
      <c r="P293" s="11">
        <v>10.29</v>
      </c>
      <c r="Q293" s="11">
        <v>1475</v>
      </c>
      <c r="R293" s="15">
        <v>2950</v>
      </c>
      <c r="S293" s="18">
        <v>1448</v>
      </c>
      <c r="T293" s="11">
        <v>12325796</v>
      </c>
      <c r="U293" s="16"/>
      <c r="V293" s="9"/>
      <c r="W293" s="17"/>
    </row>
    <row r="294" spans="1:23" x14ac:dyDescent="0.25">
      <c r="A294" s="9" t="s">
        <v>37</v>
      </c>
      <c r="B294" s="14">
        <v>387</v>
      </c>
      <c r="C294" s="10">
        <v>398</v>
      </c>
      <c r="D294" s="11">
        <v>33.299999999999997</v>
      </c>
      <c r="E294" s="11">
        <v>286</v>
      </c>
      <c r="F294" s="11">
        <v>21.1</v>
      </c>
      <c r="G294" s="18">
        <v>334.2</v>
      </c>
      <c r="H294" s="15">
        <v>261.89999999999998</v>
      </c>
      <c r="I294" s="18">
        <v>89074</v>
      </c>
      <c r="J294" s="11">
        <v>4605</v>
      </c>
      <c r="K294" s="11">
        <v>16.329999999999998</v>
      </c>
      <c r="L294" s="11">
        <v>2622</v>
      </c>
      <c r="M294" s="15">
        <v>5244</v>
      </c>
      <c r="N294" s="18">
        <v>34880</v>
      </c>
      <c r="O294" s="11">
        <v>1753</v>
      </c>
      <c r="P294" s="11">
        <v>10.210000000000001</v>
      </c>
      <c r="Q294" s="11">
        <v>1336</v>
      </c>
      <c r="R294" s="15">
        <v>2671</v>
      </c>
      <c r="S294" s="18">
        <v>1103</v>
      </c>
      <c r="T294" s="11">
        <v>10875703</v>
      </c>
      <c r="U294" s="16"/>
      <c r="V294" s="9"/>
      <c r="W294" s="17"/>
    </row>
    <row r="295" spans="1:23" x14ac:dyDescent="0.25">
      <c r="A295" s="9" t="s">
        <v>37</v>
      </c>
      <c r="B295" s="14">
        <v>380</v>
      </c>
      <c r="C295" s="10">
        <v>395</v>
      </c>
      <c r="D295" s="11">
        <v>30.2</v>
      </c>
      <c r="E295" s="11">
        <v>286</v>
      </c>
      <c r="F295" s="11">
        <v>18.899999999999999</v>
      </c>
      <c r="G295" s="18">
        <v>301.3</v>
      </c>
      <c r="H295" s="15">
        <v>236.6</v>
      </c>
      <c r="I295" s="18">
        <v>79084</v>
      </c>
      <c r="J295" s="11">
        <v>4162</v>
      </c>
      <c r="K295" s="11">
        <v>16.21</v>
      </c>
      <c r="L295" s="11">
        <v>2352</v>
      </c>
      <c r="M295" s="15">
        <v>4703</v>
      </c>
      <c r="N295" s="18">
        <v>31134</v>
      </c>
      <c r="O295" s="11">
        <v>1576</v>
      </c>
      <c r="P295" s="11">
        <v>10.16</v>
      </c>
      <c r="Q295" s="11">
        <v>1196</v>
      </c>
      <c r="R295" s="15">
        <v>2393</v>
      </c>
      <c r="S295" s="18">
        <v>824</v>
      </c>
      <c r="T295" s="11">
        <v>9559877</v>
      </c>
      <c r="U295" s="16"/>
      <c r="V295" s="9"/>
      <c r="W295" s="17"/>
    </row>
    <row r="296" spans="1:23" x14ac:dyDescent="0.25">
      <c r="A296" s="9" t="s">
        <v>37</v>
      </c>
      <c r="B296" s="14">
        <v>375</v>
      </c>
      <c r="C296" s="10">
        <v>394</v>
      </c>
      <c r="D296" s="11">
        <v>27.7</v>
      </c>
      <c r="E296" s="11">
        <v>286</v>
      </c>
      <c r="F296" s="11">
        <v>17.3</v>
      </c>
      <c r="G296" s="18">
        <v>275.5</v>
      </c>
      <c r="H296" s="15">
        <v>215.8</v>
      </c>
      <c r="I296" s="18">
        <v>71176</v>
      </c>
      <c r="J296" s="11">
        <v>3802</v>
      </c>
      <c r="K296" s="11">
        <v>16.079999999999998</v>
      </c>
      <c r="L296" s="11">
        <v>2130</v>
      </c>
      <c r="M296" s="15">
        <v>4261</v>
      </c>
      <c r="N296" s="18">
        <v>28179</v>
      </c>
      <c r="O296" s="11">
        <v>1431</v>
      </c>
      <c r="P296" s="11">
        <v>10.11</v>
      </c>
      <c r="Q296" s="11">
        <v>1090</v>
      </c>
      <c r="R296" s="15">
        <v>2179</v>
      </c>
      <c r="S296" s="18">
        <v>633</v>
      </c>
      <c r="T296" s="11">
        <v>8512587</v>
      </c>
      <c r="U296" s="16"/>
      <c r="V296" s="9"/>
      <c r="W296" s="17"/>
    </row>
    <row r="297" spans="1:23" x14ac:dyDescent="0.25">
      <c r="A297" s="9" t="s">
        <v>37</v>
      </c>
      <c r="B297" s="14">
        <v>372</v>
      </c>
      <c r="C297" s="10">
        <v>374</v>
      </c>
      <c r="D297" s="11">
        <v>26.2</v>
      </c>
      <c r="E297" s="11">
        <v>286</v>
      </c>
      <c r="F297" s="11">
        <v>16.399999999999999</v>
      </c>
      <c r="G297" s="18">
        <v>250.3</v>
      </c>
      <c r="H297" s="15">
        <v>196.4</v>
      </c>
      <c r="I297" s="18">
        <v>63683</v>
      </c>
      <c r="J297" s="11">
        <v>3425</v>
      </c>
      <c r="K297" s="11">
        <v>15.95</v>
      </c>
      <c r="L297" s="11">
        <v>1917</v>
      </c>
      <c r="M297" s="15">
        <v>3835</v>
      </c>
      <c r="N297" s="18">
        <v>22809</v>
      </c>
      <c r="O297" s="11">
        <v>1221</v>
      </c>
      <c r="P297" s="11">
        <v>9.5500000000000007</v>
      </c>
      <c r="Q297" s="11">
        <v>926</v>
      </c>
      <c r="R297" s="15">
        <v>1852</v>
      </c>
      <c r="S297" s="18">
        <v>512</v>
      </c>
      <c r="T297" s="11">
        <v>6847665</v>
      </c>
      <c r="U297" s="16"/>
      <c r="V297" s="9"/>
      <c r="W297" s="17"/>
    </row>
    <row r="298" spans="1:23" x14ac:dyDescent="0.25">
      <c r="A298" s="9" t="s">
        <v>37</v>
      </c>
      <c r="B298" s="14">
        <v>368</v>
      </c>
      <c r="C298" s="10">
        <v>373</v>
      </c>
      <c r="D298" s="11">
        <v>23.9</v>
      </c>
      <c r="E298" s="11">
        <v>286</v>
      </c>
      <c r="F298" s="11">
        <v>15</v>
      </c>
      <c r="G298" s="18">
        <v>227.7</v>
      </c>
      <c r="H298" s="15">
        <v>178.6</v>
      </c>
      <c r="I298" s="18">
        <v>57440</v>
      </c>
      <c r="J298" s="11">
        <v>3114</v>
      </c>
      <c r="K298" s="11">
        <v>15.85</v>
      </c>
      <c r="L298" s="11">
        <v>1737</v>
      </c>
      <c r="M298" s="15">
        <v>3474</v>
      </c>
      <c r="N298" s="18">
        <v>20603</v>
      </c>
      <c r="O298" s="11">
        <v>1106</v>
      </c>
      <c r="P298" s="11">
        <v>9.5</v>
      </c>
      <c r="Q298" s="11">
        <v>836</v>
      </c>
      <c r="R298" s="15">
        <v>1671</v>
      </c>
      <c r="S298" s="18">
        <v>390</v>
      </c>
      <c r="T298" s="11">
        <v>6095764</v>
      </c>
      <c r="U298" s="16"/>
      <c r="V298" s="9"/>
      <c r="W298" s="17"/>
    </row>
    <row r="299" spans="1:23" x14ac:dyDescent="0.25">
      <c r="A299" s="9" t="s">
        <v>37</v>
      </c>
      <c r="B299" s="14">
        <v>364</v>
      </c>
      <c r="C299" s="10">
        <v>371</v>
      </c>
      <c r="D299" s="11">
        <v>21.8</v>
      </c>
      <c r="E299" s="11">
        <v>286</v>
      </c>
      <c r="F299" s="11">
        <v>13.3</v>
      </c>
      <c r="G299" s="18">
        <v>206.5</v>
      </c>
      <c r="H299" s="15">
        <v>162.19999999999999</v>
      </c>
      <c r="I299" s="18">
        <v>51613</v>
      </c>
      <c r="J299" s="11">
        <v>2835</v>
      </c>
      <c r="K299" s="11">
        <v>15.8</v>
      </c>
      <c r="L299" s="11">
        <v>1573</v>
      </c>
      <c r="M299" s="15">
        <v>3146</v>
      </c>
      <c r="N299" s="18">
        <v>18606</v>
      </c>
      <c r="O299" s="11">
        <v>1003</v>
      </c>
      <c r="P299" s="11">
        <v>9.4700000000000006</v>
      </c>
      <c r="Q299" s="11">
        <v>760</v>
      </c>
      <c r="R299" s="15">
        <v>1519</v>
      </c>
      <c r="S299" s="18">
        <v>296</v>
      </c>
      <c r="T299" s="11">
        <v>5424425</v>
      </c>
      <c r="U299" s="16"/>
      <c r="V299" s="9"/>
      <c r="W299" s="17"/>
    </row>
    <row r="300" spans="1:23" x14ac:dyDescent="0.25">
      <c r="A300" s="9" t="s">
        <v>37</v>
      </c>
      <c r="B300" s="14">
        <v>360</v>
      </c>
      <c r="C300" s="10">
        <v>370</v>
      </c>
      <c r="D300" s="11">
        <v>19.8</v>
      </c>
      <c r="E300" s="11">
        <v>286</v>
      </c>
      <c r="F300" s="11">
        <v>12.3</v>
      </c>
      <c r="G300" s="18">
        <v>187.7</v>
      </c>
      <c r="H300" s="15">
        <v>147.30000000000001</v>
      </c>
      <c r="I300" s="18">
        <v>46202</v>
      </c>
      <c r="J300" s="11">
        <v>2573</v>
      </c>
      <c r="K300" s="11">
        <v>15.67</v>
      </c>
      <c r="L300" s="11">
        <v>1417</v>
      </c>
      <c r="M300" s="15">
        <v>2835</v>
      </c>
      <c r="N300" s="18">
        <v>16733</v>
      </c>
      <c r="O300" s="11">
        <v>905</v>
      </c>
      <c r="P300" s="11">
        <v>9.42</v>
      </c>
      <c r="Q300" s="11">
        <v>685</v>
      </c>
      <c r="R300" s="15">
        <v>1370</v>
      </c>
      <c r="S300" s="18">
        <v>224</v>
      </c>
      <c r="T300" s="11">
        <v>4833646</v>
      </c>
      <c r="U300" s="16"/>
      <c r="V300" s="9"/>
      <c r="W300" s="17"/>
    </row>
    <row r="301" spans="1:23" x14ac:dyDescent="0.25">
      <c r="A301" s="9" t="s">
        <v>37</v>
      </c>
      <c r="B301" s="14">
        <v>356</v>
      </c>
      <c r="C301" s="10">
        <v>369</v>
      </c>
      <c r="D301" s="11">
        <v>18</v>
      </c>
      <c r="E301" s="11">
        <v>286</v>
      </c>
      <c r="F301" s="11">
        <v>11.2</v>
      </c>
      <c r="G301" s="18">
        <v>171</v>
      </c>
      <c r="H301" s="15">
        <v>133.9</v>
      </c>
      <c r="I301" s="18">
        <v>41582</v>
      </c>
      <c r="J301" s="11">
        <v>2343</v>
      </c>
      <c r="K301" s="11">
        <v>15.6</v>
      </c>
      <c r="L301" s="11">
        <v>1286</v>
      </c>
      <c r="M301" s="15">
        <v>2573</v>
      </c>
      <c r="N301" s="18">
        <v>15068</v>
      </c>
      <c r="O301" s="11">
        <v>818</v>
      </c>
      <c r="P301" s="11">
        <v>9.4</v>
      </c>
      <c r="Q301" s="11">
        <v>619</v>
      </c>
      <c r="R301" s="15">
        <v>1239</v>
      </c>
      <c r="S301" s="18">
        <v>169</v>
      </c>
      <c r="T301" s="11">
        <v>4296574</v>
      </c>
      <c r="U301" s="16"/>
      <c r="V301" s="9"/>
      <c r="W301" s="17"/>
    </row>
    <row r="302" spans="1:23" x14ac:dyDescent="0.25">
      <c r="A302" s="9" t="s">
        <v>37</v>
      </c>
      <c r="B302" s="14">
        <v>363</v>
      </c>
      <c r="C302" s="10">
        <v>257</v>
      </c>
      <c r="D302" s="11">
        <v>21.7</v>
      </c>
      <c r="E302" s="11">
        <v>279</v>
      </c>
      <c r="F302" s="11">
        <v>13</v>
      </c>
      <c r="G302" s="18">
        <v>155.5</v>
      </c>
      <c r="H302" s="15">
        <v>122</v>
      </c>
      <c r="I302" s="18">
        <v>36712</v>
      </c>
      <c r="J302" s="11">
        <v>2016</v>
      </c>
      <c r="K302" s="11">
        <v>15.37</v>
      </c>
      <c r="L302" s="11">
        <v>1139</v>
      </c>
      <c r="M302" s="15">
        <v>2278</v>
      </c>
      <c r="N302" s="18">
        <v>6160</v>
      </c>
      <c r="O302" s="11">
        <v>480</v>
      </c>
      <c r="P302" s="11">
        <v>6.3</v>
      </c>
      <c r="Q302" s="11">
        <v>367</v>
      </c>
      <c r="R302" s="15">
        <v>734</v>
      </c>
      <c r="S302" s="18">
        <v>211</v>
      </c>
      <c r="T302" s="11">
        <v>1801876</v>
      </c>
      <c r="U302" s="16"/>
      <c r="V302" s="9"/>
      <c r="W302" s="17"/>
    </row>
    <row r="303" spans="1:23" x14ac:dyDescent="0.25">
      <c r="A303" s="9" t="s">
        <v>37</v>
      </c>
      <c r="B303" s="14">
        <v>360</v>
      </c>
      <c r="C303" s="10">
        <v>256</v>
      </c>
      <c r="D303" s="11">
        <v>19.899999999999999</v>
      </c>
      <c r="E303" s="11">
        <v>279</v>
      </c>
      <c r="F303" s="11">
        <v>11.4</v>
      </c>
      <c r="G303" s="18">
        <v>140.6</v>
      </c>
      <c r="H303" s="15">
        <v>110.1</v>
      </c>
      <c r="I303" s="18">
        <v>33132</v>
      </c>
      <c r="J303" s="11">
        <v>1835</v>
      </c>
      <c r="K303" s="11">
        <v>15.34</v>
      </c>
      <c r="L303" s="11">
        <v>1032</v>
      </c>
      <c r="M303" s="15">
        <v>2065</v>
      </c>
      <c r="N303" s="18">
        <v>5578</v>
      </c>
      <c r="O303" s="11">
        <v>436</v>
      </c>
      <c r="P303" s="11">
        <v>6.3</v>
      </c>
      <c r="Q303" s="11">
        <v>333</v>
      </c>
      <c r="R303" s="15">
        <v>665</v>
      </c>
      <c r="S303" s="18">
        <v>161</v>
      </c>
      <c r="T303" s="11">
        <v>1608530</v>
      </c>
      <c r="U303" s="16"/>
      <c r="V303" s="9"/>
      <c r="W303" s="17"/>
    </row>
    <row r="304" spans="1:23" x14ac:dyDescent="0.25">
      <c r="A304" s="9" t="s">
        <v>37</v>
      </c>
      <c r="B304" s="14">
        <v>357</v>
      </c>
      <c r="C304" s="10">
        <v>255</v>
      </c>
      <c r="D304" s="11">
        <v>18.3</v>
      </c>
      <c r="E304" s="11">
        <v>279</v>
      </c>
      <c r="F304" s="11">
        <v>10.5</v>
      </c>
      <c r="G304" s="18">
        <v>129</v>
      </c>
      <c r="H304" s="15">
        <v>101.2</v>
      </c>
      <c r="I304" s="18">
        <v>30094</v>
      </c>
      <c r="J304" s="11">
        <v>1688</v>
      </c>
      <c r="K304" s="11">
        <v>15.27</v>
      </c>
      <c r="L304" s="11">
        <v>942</v>
      </c>
      <c r="M304" s="15">
        <v>1885</v>
      </c>
      <c r="N304" s="18">
        <v>5036</v>
      </c>
      <c r="O304" s="11">
        <v>397</v>
      </c>
      <c r="P304" s="11">
        <v>6.25</v>
      </c>
      <c r="Q304" s="11">
        <v>302</v>
      </c>
      <c r="R304" s="15">
        <v>605</v>
      </c>
      <c r="S304" s="18">
        <v>126</v>
      </c>
      <c r="T304" s="11">
        <v>1444723</v>
      </c>
      <c r="U304" s="16"/>
      <c r="V304" s="9"/>
      <c r="W304" s="17"/>
    </row>
    <row r="305" spans="1:23" x14ac:dyDescent="0.25">
      <c r="A305" s="9" t="s">
        <v>37</v>
      </c>
      <c r="B305" s="14">
        <v>353</v>
      </c>
      <c r="C305" s="10">
        <v>254</v>
      </c>
      <c r="D305" s="11">
        <v>16.399999999999999</v>
      </c>
      <c r="E305" s="11">
        <v>279</v>
      </c>
      <c r="F305" s="11">
        <v>9.5299999999999994</v>
      </c>
      <c r="G305" s="18">
        <v>115.5</v>
      </c>
      <c r="H305" s="15">
        <v>90.8</v>
      </c>
      <c r="I305" s="18">
        <v>26639</v>
      </c>
      <c r="J305" s="11">
        <v>1511</v>
      </c>
      <c r="K305" s="11">
        <v>15.19</v>
      </c>
      <c r="L305" s="11">
        <v>836</v>
      </c>
      <c r="M305" s="15">
        <v>1671</v>
      </c>
      <c r="N305" s="18">
        <v>4454</v>
      </c>
      <c r="O305" s="11">
        <v>352</v>
      </c>
      <c r="P305" s="11">
        <v>6.22</v>
      </c>
      <c r="Q305" s="11">
        <v>269</v>
      </c>
      <c r="R305" s="15">
        <v>537</v>
      </c>
      <c r="S305" s="18">
        <v>91.6</v>
      </c>
      <c r="T305" s="11">
        <v>1264804</v>
      </c>
      <c r="U305" s="16"/>
      <c r="V305" s="9"/>
      <c r="W305" s="17"/>
    </row>
    <row r="306" spans="1:23" x14ac:dyDescent="0.25">
      <c r="A306" s="9" t="s">
        <v>37</v>
      </c>
      <c r="B306" s="14">
        <v>354</v>
      </c>
      <c r="C306" s="10">
        <v>205</v>
      </c>
      <c r="D306" s="11">
        <v>16.8</v>
      </c>
      <c r="E306" s="11">
        <v>279</v>
      </c>
      <c r="F306" s="11">
        <v>9.4</v>
      </c>
      <c r="G306" s="18">
        <v>100.6</v>
      </c>
      <c r="H306" s="15">
        <v>78.900000000000006</v>
      </c>
      <c r="I306" s="18">
        <v>22518</v>
      </c>
      <c r="J306" s="11">
        <v>1275</v>
      </c>
      <c r="K306" s="11">
        <v>14.96</v>
      </c>
      <c r="L306" s="11">
        <v>714</v>
      </c>
      <c r="M306" s="15">
        <v>1427</v>
      </c>
      <c r="N306" s="18">
        <v>2402</v>
      </c>
      <c r="O306" s="11">
        <v>234</v>
      </c>
      <c r="P306" s="11">
        <v>4.88</v>
      </c>
      <c r="Q306" s="11">
        <v>180</v>
      </c>
      <c r="R306" s="15">
        <v>361</v>
      </c>
      <c r="S306" s="18">
        <v>80.7</v>
      </c>
      <c r="T306" s="11">
        <v>682081</v>
      </c>
      <c r="U306" s="16"/>
      <c r="V306" s="9"/>
      <c r="W306" s="17"/>
    </row>
    <row r="307" spans="1:23" x14ac:dyDescent="0.25">
      <c r="A307" s="9" t="s">
        <v>37</v>
      </c>
      <c r="B307" s="14">
        <v>350</v>
      </c>
      <c r="C307" s="10">
        <v>204</v>
      </c>
      <c r="D307" s="11">
        <v>15.1</v>
      </c>
      <c r="E307" s="11">
        <v>279</v>
      </c>
      <c r="F307" s="11">
        <v>8.64</v>
      </c>
      <c r="G307" s="18">
        <v>90.97</v>
      </c>
      <c r="H307" s="15">
        <v>71.400000000000006</v>
      </c>
      <c r="I307" s="18">
        <v>20187</v>
      </c>
      <c r="J307" s="11">
        <v>1152</v>
      </c>
      <c r="K307" s="11">
        <v>14.86</v>
      </c>
      <c r="L307" s="11">
        <v>642</v>
      </c>
      <c r="M307" s="15">
        <v>1285</v>
      </c>
      <c r="N307" s="18">
        <v>2139</v>
      </c>
      <c r="O307" s="11">
        <v>210</v>
      </c>
      <c r="P307" s="11">
        <v>4.8499999999999996</v>
      </c>
      <c r="Q307" s="11">
        <v>161</v>
      </c>
      <c r="R307" s="15">
        <v>321</v>
      </c>
      <c r="S307" s="18">
        <v>60.8</v>
      </c>
      <c r="T307" s="11">
        <v>601520</v>
      </c>
      <c r="U307" s="16"/>
      <c r="V307" s="9"/>
      <c r="W307" s="17"/>
    </row>
    <row r="308" spans="1:23" x14ac:dyDescent="0.25">
      <c r="A308" s="9" t="s">
        <v>37</v>
      </c>
      <c r="B308" s="14">
        <v>347</v>
      </c>
      <c r="C308" s="10">
        <v>203</v>
      </c>
      <c r="D308" s="11">
        <v>13.5</v>
      </c>
      <c r="E308" s="11">
        <v>279</v>
      </c>
      <c r="F308" s="11">
        <v>7.75</v>
      </c>
      <c r="G308" s="18">
        <v>81.290000000000006</v>
      </c>
      <c r="H308" s="15">
        <v>64</v>
      </c>
      <c r="I308" s="18">
        <v>17815</v>
      </c>
      <c r="J308" s="11">
        <v>1027</v>
      </c>
      <c r="K308" s="11">
        <v>14.78</v>
      </c>
      <c r="L308" s="11">
        <v>570</v>
      </c>
      <c r="M308" s="15">
        <v>1141</v>
      </c>
      <c r="N308" s="18">
        <v>1881</v>
      </c>
      <c r="O308" s="11">
        <v>185</v>
      </c>
      <c r="P308" s="11">
        <v>4.8</v>
      </c>
      <c r="Q308" s="11">
        <v>142</v>
      </c>
      <c r="R308" s="15">
        <v>283</v>
      </c>
      <c r="S308" s="18">
        <v>43.7</v>
      </c>
      <c r="T308" s="11">
        <v>523645</v>
      </c>
      <c r="U308" s="16"/>
      <c r="V308" s="9"/>
      <c r="W308" s="17"/>
    </row>
    <row r="309" spans="1:23" x14ac:dyDescent="0.25">
      <c r="A309" s="9" t="s">
        <v>37</v>
      </c>
      <c r="B309" s="14">
        <v>358</v>
      </c>
      <c r="C309" s="10">
        <v>172</v>
      </c>
      <c r="D309" s="11">
        <v>13.1</v>
      </c>
      <c r="E309" s="11">
        <v>305</v>
      </c>
      <c r="F309" s="11">
        <v>7.87</v>
      </c>
      <c r="G309" s="18">
        <v>72.260000000000005</v>
      </c>
      <c r="H309" s="15">
        <v>56.6</v>
      </c>
      <c r="I309" s="18">
        <v>16025</v>
      </c>
      <c r="J309" s="11">
        <v>895</v>
      </c>
      <c r="K309" s="11">
        <v>14.91</v>
      </c>
      <c r="L309" s="11">
        <v>504</v>
      </c>
      <c r="M309" s="15">
        <v>1008</v>
      </c>
      <c r="N309" s="18">
        <v>1111</v>
      </c>
      <c r="O309" s="11">
        <v>129</v>
      </c>
      <c r="P309" s="11">
        <v>3.94</v>
      </c>
      <c r="Q309" s="11">
        <v>99.1</v>
      </c>
      <c r="R309" s="15">
        <v>198</v>
      </c>
      <c r="S309" s="18">
        <v>33.299999999999997</v>
      </c>
      <c r="T309" s="11">
        <v>330299</v>
      </c>
      <c r="U309" s="16"/>
      <c r="V309" s="9"/>
      <c r="W309" s="17"/>
    </row>
    <row r="310" spans="1:23" x14ac:dyDescent="0.25">
      <c r="A310" s="9" t="s">
        <v>37</v>
      </c>
      <c r="B310" s="14">
        <v>355</v>
      </c>
      <c r="C310" s="10">
        <v>171</v>
      </c>
      <c r="D310" s="11">
        <v>11.6</v>
      </c>
      <c r="E310" s="11">
        <v>305</v>
      </c>
      <c r="F310" s="11">
        <v>7.24</v>
      </c>
      <c r="G310" s="18">
        <v>64.52</v>
      </c>
      <c r="H310" s="15">
        <v>50.6</v>
      </c>
      <c r="I310" s="18">
        <v>14152</v>
      </c>
      <c r="J310" s="11">
        <v>796</v>
      </c>
      <c r="K310" s="11">
        <v>14.81</v>
      </c>
      <c r="L310" s="11">
        <v>447</v>
      </c>
      <c r="M310" s="15">
        <v>895</v>
      </c>
      <c r="N310" s="18">
        <v>970</v>
      </c>
      <c r="O310" s="11">
        <v>113</v>
      </c>
      <c r="P310" s="11">
        <v>3.89</v>
      </c>
      <c r="Q310" s="11">
        <v>86.9</v>
      </c>
      <c r="R310" s="15">
        <v>174</v>
      </c>
      <c r="S310" s="18">
        <v>23.7</v>
      </c>
      <c r="T310" s="11">
        <v>287333</v>
      </c>
      <c r="U310" s="16"/>
      <c r="V310" s="9"/>
      <c r="W310" s="17"/>
    </row>
    <row r="311" spans="1:23" x14ac:dyDescent="0.25">
      <c r="A311" s="9" t="s">
        <v>37</v>
      </c>
      <c r="B311" s="14">
        <v>352</v>
      </c>
      <c r="C311" s="10">
        <v>171</v>
      </c>
      <c r="D311" s="11">
        <v>9.7799999999999994</v>
      </c>
      <c r="E311" s="11">
        <v>305</v>
      </c>
      <c r="F311" s="11">
        <v>6.86</v>
      </c>
      <c r="G311" s="18">
        <v>57.1</v>
      </c>
      <c r="H311" s="15">
        <v>44.6</v>
      </c>
      <c r="I311" s="18">
        <v>12112</v>
      </c>
      <c r="J311" s="11">
        <v>688</v>
      </c>
      <c r="K311" s="11">
        <v>14.55</v>
      </c>
      <c r="L311" s="11">
        <v>388</v>
      </c>
      <c r="M311" s="15">
        <v>775</v>
      </c>
      <c r="N311" s="18">
        <v>816</v>
      </c>
      <c r="O311" s="11">
        <v>95.4</v>
      </c>
      <c r="P311" s="11">
        <v>3.78</v>
      </c>
      <c r="Q311" s="11">
        <v>73.7</v>
      </c>
      <c r="R311" s="15">
        <v>147</v>
      </c>
      <c r="S311" s="18">
        <v>15.8</v>
      </c>
      <c r="T311" s="11">
        <v>238191</v>
      </c>
      <c r="U311" s="16"/>
      <c r="V311" s="9"/>
      <c r="W311" s="17"/>
    </row>
    <row r="312" spans="1:23" x14ac:dyDescent="0.25">
      <c r="A312" s="9" t="s">
        <v>37</v>
      </c>
      <c r="B312" s="14">
        <v>353</v>
      </c>
      <c r="C312" s="10">
        <v>128</v>
      </c>
      <c r="D312" s="11">
        <v>10.7</v>
      </c>
      <c r="E312" s="11">
        <v>305</v>
      </c>
      <c r="F312" s="11">
        <v>6.48</v>
      </c>
      <c r="G312" s="18">
        <v>49.61</v>
      </c>
      <c r="H312" s="15">
        <v>38.700000000000003</v>
      </c>
      <c r="I312" s="18">
        <v>10198</v>
      </c>
      <c r="J312" s="11">
        <v>578</v>
      </c>
      <c r="K312" s="11">
        <v>14.35</v>
      </c>
      <c r="L312" s="11">
        <v>329</v>
      </c>
      <c r="M312" s="15">
        <v>659</v>
      </c>
      <c r="N312" s="18">
        <v>371</v>
      </c>
      <c r="O312" s="11">
        <v>58</v>
      </c>
      <c r="P312" s="11">
        <v>2.74</v>
      </c>
      <c r="Q312" s="11">
        <v>45.4</v>
      </c>
      <c r="R312" s="15">
        <v>90.8</v>
      </c>
      <c r="S312" s="18">
        <v>15</v>
      </c>
      <c r="T312" s="11">
        <v>108757</v>
      </c>
      <c r="U312" s="16"/>
      <c r="V312" s="9"/>
      <c r="W312" s="17"/>
    </row>
    <row r="313" spans="1:23" x14ac:dyDescent="0.25">
      <c r="A313" s="9" t="s">
        <v>37</v>
      </c>
      <c r="B313" s="14">
        <v>349</v>
      </c>
      <c r="C313" s="10">
        <v>127</v>
      </c>
      <c r="D313" s="11">
        <v>8.51</v>
      </c>
      <c r="E313" s="11">
        <v>305</v>
      </c>
      <c r="F313" s="11">
        <v>5.84</v>
      </c>
      <c r="G313" s="18">
        <v>41.87</v>
      </c>
      <c r="H313" s="15">
        <v>32.700000000000003</v>
      </c>
      <c r="I313" s="18">
        <v>8283</v>
      </c>
      <c r="J313" s="11">
        <v>475</v>
      </c>
      <c r="K313" s="11">
        <v>14.07</v>
      </c>
      <c r="L313" s="11">
        <v>272</v>
      </c>
      <c r="M313" s="15">
        <v>544</v>
      </c>
      <c r="N313" s="18">
        <v>291</v>
      </c>
      <c r="O313" s="11">
        <v>45.9</v>
      </c>
      <c r="P313" s="11">
        <v>2.64</v>
      </c>
      <c r="Q313" s="11">
        <v>36</v>
      </c>
      <c r="R313" s="15">
        <v>71.900000000000006</v>
      </c>
      <c r="S313" s="18">
        <v>8.74</v>
      </c>
      <c r="T313" s="11">
        <v>84320</v>
      </c>
      <c r="U313" s="16"/>
      <c r="V313" s="9"/>
      <c r="W313" s="17"/>
    </row>
    <row r="314" spans="1:23" x14ac:dyDescent="0.25">
      <c r="A314" s="9" t="s">
        <v>37</v>
      </c>
      <c r="B314" s="14">
        <v>427</v>
      </c>
      <c r="C314" s="10">
        <v>340</v>
      </c>
      <c r="D314" s="11">
        <v>75.099999999999994</v>
      </c>
      <c r="E314" s="11">
        <v>241</v>
      </c>
      <c r="F314" s="11">
        <v>45.1</v>
      </c>
      <c r="G314" s="18">
        <v>637.4</v>
      </c>
      <c r="H314" s="15">
        <v>500</v>
      </c>
      <c r="I314" s="18">
        <v>168990</v>
      </c>
      <c r="J314" s="11">
        <v>7915</v>
      </c>
      <c r="K314" s="11">
        <v>16.28</v>
      </c>
      <c r="L314" s="11">
        <v>4941</v>
      </c>
      <c r="M314" s="15">
        <v>9881</v>
      </c>
      <c r="N314" s="18">
        <v>49532</v>
      </c>
      <c r="O314" s="11">
        <v>2901</v>
      </c>
      <c r="P314" s="11">
        <v>8.81</v>
      </c>
      <c r="Q314" s="11">
        <v>2245</v>
      </c>
      <c r="R314" s="15">
        <v>4490</v>
      </c>
      <c r="S314" s="18">
        <v>10114</v>
      </c>
      <c r="T314" s="11">
        <v>15306544</v>
      </c>
      <c r="U314" s="16"/>
      <c r="V314" s="9"/>
      <c r="W314" s="17"/>
    </row>
    <row r="315" spans="1:23" x14ac:dyDescent="0.25">
      <c r="A315" s="9" t="s">
        <v>37</v>
      </c>
      <c r="B315" s="14">
        <v>415</v>
      </c>
      <c r="C315" s="10">
        <v>336</v>
      </c>
      <c r="D315" s="11">
        <v>68.7</v>
      </c>
      <c r="E315" s="11">
        <v>241</v>
      </c>
      <c r="F315" s="11">
        <v>41.3</v>
      </c>
      <c r="G315" s="18">
        <v>578.1</v>
      </c>
      <c r="H315" s="15">
        <v>453.9</v>
      </c>
      <c r="I315" s="18">
        <v>147762</v>
      </c>
      <c r="J315" s="11">
        <v>7128</v>
      </c>
      <c r="K315" s="11">
        <v>15.98</v>
      </c>
      <c r="L315" s="11">
        <v>4400</v>
      </c>
      <c r="M315" s="15">
        <v>8800</v>
      </c>
      <c r="N315" s="18">
        <v>43704</v>
      </c>
      <c r="O315" s="11">
        <v>2606</v>
      </c>
      <c r="P315" s="11">
        <v>8.69</v>
      </c>
      <c r="Q315" s="11">
        <v>1999</v>
      </c>
      <c r="R315" s="15">
        <v>3998</v>
      </c>
      <c r="S315" s="18">
        <v>7700</v>
      </c>
      <c r="T315" s="11">
        <v>13050843</v>
      </c>
      <c r="U315" s="16"/>
      <c r="V315" s="9"/>
      <c r="W315" s="17"/>
    </row>
    <row r="316" spans="1:23" x14ac:dyDescent="0.25">
      <c r="A316" s="9" t="s">
        <v>37</v>
      </c>
      <c r="B316" s="14">
        <v>403</v>
      </c>
      <c r="C316" s="10">
        <v>334</v>
      </c>
      <c r="D316" s="11">
        <v>62.7</v>
      </c>
      <c r="E316" s="11">
        <v>241</v>
      </c>
      <c r="F316" s="11">
        <v>38.9</v>
      </c>
      <c r="G316" s="18">
        <v>528.4</v>
      </c>
      <c r="H316" s="15">
        <v>415.2</v>
      </c>
      <c r="I316" s="18">
        <v>129448</v>
      </c>
      <c r="J316" s="11">
        <v>6440</v>
      </c>
      <c r="K316" s="11">
        <v>15.65</v>
      </c>
      <c r="L316" s="11">
        <v>3941</v>
      </c>
      <c r="M316" s="15">
        <v>7882</v>
      </c>
      <c r="N316" s="18">
        <v>39001</v>
      </c>
      <c r="O316" s="11">
        <v>2343</v>
      </c>
      <c r="P316" s="11">
        <v>8.59</v>
      </c>
      <c r="Q316" s="11">
        <v>1803</v>
      </c>
      <c r="R316" s="15">
        <v>3605</v>
      </c>
      <c r="S316" s="18">
        <v>5952</v>
      </c>
      <c r="T316" s="11">
        <v>11278506</v>
      </c>
      <c r="U316" s="16"/>
      <c r="V316" s="9"/>
      <c r="W316" s="17"/>
    </row>
    <row r="317" spans="1:23" x14ac:dyDescent="0.25">
      <c r="A317" s="9" t="s">
        <v>37</v>
      </c>
      <c r="B317" s="14">
        <v>391</v>
      </c>
      <c r="C317" s="10">
        <v>330</v>
      </c>
      <c r="D317" s="11">
        <v>57.2</v>
      </c>
      <c r="E317" s="11">
        <v>241</v>
      </c>
      <c r="F317" s="11">
        <v>35.4</v>
      </c>
      <c r="G317" s="18">
        <v>478.1</v>
      </c>
      <c r="H317" s="15">
        <v>375</v>
      </c>
      <c r="I317" s="18">
        <v>113215</v>
      </c>
      <c r="J317" s="11">
        <v>5785</v>
      </c>
      <c r="K317" s="11">
        <v>15.39</v>
      </c>
      <c r="L317" s="11">
        <v>3507</v>
      </c>
      <c r="M317" s="15">
        <v>7014</v>
      </c>
      <c r="N317" s="18">
        <v>34464</v>
      </c>
      <c r="O317" s="11">
        <v>2081</v>
      </c>
      <c r="P317" s="11">
        <v>8.48</v>
      </c>
      <c r="Q317" s="11">
        <v>1606</v>
      </c>
      <c r="R317" s="15">
        <v>3212</v>
      </c>
      <c r="S317" s="18">
        <v>4495</v>
      </c>
      <c r="T317" s="11">
        <v>9613584</v>
      </c>
      <c r="U317" s="16"/>
      <c r="V317" s="9"/>
      <c r="W317" s="17"/>
    </row>
    <row r="318" spans="1:23" x14ac:dyDescent="0.25">
      <c r="A318" s="9" t="s">
        <v>37</v>
      </c>
      <c r="B318" s="14">
        <v>382</v>
      </c>
      <c r="C318" s="10">
        <v>328</v>
      </c>
      <c r="D318" s="11">
        <v>52.6</v>
      </c>
      <c r="E318" s="11">
        <v>241</v>
      </c>
      <c r="F318" s="11">
        <v>32.6</v>
      </c>
      <c r="G318" s="18">
        <v>436.8</v>
      </c>
      <c r="H318" s="15">
        <v>342.3</v>
      </c>
      <c r="I318" s="18">
        <v>100728</v>
      </c>
      <c r="J318" s="11">
        <v>5260</v>
      </c>
      <c r="K318" s="11">
        <v>15.16</v>
      </c>
      <c r="L318" s="11">
        <v>3163</v>
      </c>
      <c r="M318" s="15">
        <v>6325</v>
      </c>
      <c r="N318" s="18">
        <v>30884</v>
      </c>
      <c r="O318" s="11">
        <v>1885</v>
      </c>
      <c r="P318" s="11">
        <v>8.41</v>
      </c>
      <c r="Q318" s="11">
        <v>1450</v>
      </c>
      <c r="R318" s="15">
        <v>2901</v>
      </c>
      <c r="S318" s="18">
        <v>3488</v>
      </c>
      <c r="T318" s="11">
        <v>8378319</v>
      </c>
      <c r="U318" s="16"/>
      <c r="V318" s="9"/>
      <c r="W318" s="17"/>
    </row>
    <row r="319" spans="1:23" x14ac:dyDescent="0.25">
      <c r="A319" s="9" t="s">
        <v>37</v>
      </c>
      <c r="B319" s="14">
        <v>374</v>
      </c>
      <c r="C319" s="10">
        <v>325</v>
      </c>
      <c r="D319" s="11">
        <v>48.3</v>
      </c>
      <c r="E319" s="11">
        <v>241</v>
      </c>
      <c r="F319" s="11">
        <v>30</v>
      </c>
      <c r="G319" s="18">
        <v>398.7</v>
      </c>
      <c r="H319" s="15">
        <v>312.5</v>
      </c>
      <c r="I319" s="18">
        <v>89074</v>
      </c>
      <c r="J319" s="11">
        <v>4785</v>
      </c>
      <c r="K319" s="11">
        <v>14.96</v>
      </c>
      <c r="L319" s="11">
        <v>2851</v>
      </c>
      <c r="M319" s="15">
        <v>5703</v>
      </c>
      <c r="N319" s="18">
        <v>27638</v>
      </c>
      <c r="O319" s="11">
        <v>1704</v>
      </c>
      <c r="P319" s="11">
        <v>8.33</v>
      </c>
      <c r="Q319" s="11">
        <v>1303</v>
      </c>
      <c r="R319" s="15">
        <v>2606</v>
      </c>
      <c r="S319" s="18">
        <v>2693</v>
      </c>
      <c r="T319" s="11">
        <v>7304176</v>
      </c>
      <c r="U319" s="16"/>
      <c r="V319" s="9"/>
      <c r="W319" s="17"/>
    </row>
    <row r="320" spans="1:23" x14ac:dyDescent="0.25">
      <c r="A320" s="9" t="s">
        <v>37</v>
      </c>
      <c r="B320" s="14">
        <v>365</v>
      </c>
      <c r="C320" s="10">
        <v>322</v>
      </c>
      <c r="D320" s="11">
        <v>44.1</v>
      </c>
      <c r="E320" s="11">
        <v>241</v>
      </c>
      <c r="F320" s="11">
        <v>26.9</v>
      </c>
      <c r="G320" s="18">
        <v>360</v>
      </c>
      <c r="H320" s="15">
        <v>282.8</v>
      </c>
      <c r="I320" s="18">
        <v>78668</v>
      </c>
      <c r="J320" s="11">
        <v>4310</v>
      </c>
      <c r="K320" s="11">
        <v>14.78</v>
      </c>
      <c r="L320" s="11">
        <v>2548</v>
      </c>
      <c r="M320" s="15">
        <v>5096</v>
      </c>
      <c r="N320" s="18">
        <v>24516</v>
      </c>
      <c r="O320" s="11">
        <v>1524</v>
      </c>
      <c r="P320" s="11">
        <v>8.26</v>
      </c>
      <c r="Q320" s="11">
        <v>1172</v>
      </c>
      <c r="R320" s="15">
        <v>2343</v>
      </c>
      <c r="S320" s="18">
        <v>2031</v>
      </c>
      <c r="T320" s="11">
        <v>6337446</v>
      </c>
      <c r="U320" s="16"/>
      <c r="V320" s="9"/>
      <c r="W320" s="17"/>
    </row>
    <row r="321" spans="1:23" x14ac:dyDescent="0.25">
      <c r="A321" s="9" t="s">
        <v>37</v>
      </c>
      <c r="B321" s="14">
        <v>356</v>
      </c>
      <c r="C321" s="10">
        <v>319</v>
      </c>
      <c r="D321" s="11">
        <v>39.6</v>
      </c>
      <c r="E321" s="11">
        <v>241</v>
      </c>
      <c r="F321" s="11">
        <v>24.4</v>
      </c>
      <c r="G321" s="18">
        <v>322.60000000000002</v>
      </c>
      <c r="H321" s="15">
        <v>253</v>
      </c>
      <c r="I321" s="18">
        <v>68678</v>
      </c>
      <c r="J321" s="11">
        <v>3851</v>
      </c>
      <c r="K321" s="11">
        <v>14.58</v>
      </c>
      <c r="L321" s="11">
        <v>2253</v>
      </c>
      <c r="M321" s="15">
        <v>4506</v>
      </c>
      <c r="N321" s="18">
        <v>21519</v>
      </c>
      <c r="O321" s="11">
        <v>1349</v>
      </c>
      <c r="P321" s="11">
        <v>8.18</v>
      </c>
      <c r="Q321" s="11">
        <v>1032</v>
      </c>
      <c r="R321" s="15">
        <v>2065</v>
      </c>
      <c r="S321" s="18">
        <v>1482</v>
      </c>
      <c r="T321" s="11">
        <v>5397571</v>
      </c>
      <c r="U321" s="16"/>
      <c r="V321" s="9"/>
      <c r="W321" s="17"/>
    </row>
    <row r="322" spans="1:23" x14ac:dyDescent="0.25">
      <c r="A322" s="9" t="s">
        <v>37</v>
      </c>
      <c r="B322" s="14">
        <v>348</v>
      </c>
      <c r="C322" s="10">
        <v>317</v>
      </c>
      <c r="D322" s="11">
        <v>35.6</v>
      </c>
      <c r="E322" s="11">
        <v>241</v>
      </c>
      <c r="F322" s="11">
        <v>22.1</v>
      </c>
      <c r="G322" s="18">
        <v>288.39999999999998</v>
      </c>
      <c r="H322" s="15">
        <v>226.2</v>
      </c>
      <c r="I322" s="18">
        <v>59521</v>
      </c>
      <c r="J322" s="11">
        <v>3425</v>
      </c>
      <c r="K322" s="11">
        <v>14.38</v>
      </c>
      <c r="L322" s="11">
        <v>1991</v>
      </c>
      <c r="M322" s="15">
        <v>3982</v>
      </c>
      <c r="N322" s="18">
        <v>18897</v>
      </c>
      <c r="O322" s="11">
        <v>1193</v>
      </c>
      <c r="P322" s="11">
        <v>8.1</v>
      </c>
      <c r="Q322" s="11">
        <v>909</v>
      </c>
      <c r="R322" s="15">
        <v>1819</v>
      </c>
      <c r="S322" s="18">
        <v>1074</v>
      </c>
      <c r="T322" s="11">
        <v>4618817</v>
      </c>
      <c r="U322" s="16"/>
      <c r="V322" s="9"/>
      <c r="W322" s="17"/>
    </row>
    <row r="323" spans="1:23" x14ac:dyDescent="0.25">
      <c r="A323" s="9" t="s">
        <v>37</v>
      </c>
      <c r="B323" s="14">
        <v>341</v>
      </c>
      <c r="C323" s="10">
        <v>315</v>
      </c>
      <c r="D323" s="11">
        <v>31.8</v>
      </c>
      <c r="E323" s="11">
        <v>241</v>
      </c>
      <c r="F323" s="11">
        <v>20.100000000000001</v>
      </c>
      <c r="G323" s="18">
        <v>257.39999999999998</v>
      </c>
      <c r="H323" s="15">
        <v>202.4</v>
      </c>
      <c r="I323" s="18">
        <v>51613</v>
      </c>
      <c r="J323" s="11">
        <v>3048</v>
      </c>
      <c r="K323" s="11">
        <v>14.17</v>
      </c>
      <c r="L323" s="11">
        <v>1753</v>
      </c>
      <c r="M323" s="15">
        <v>3507</v>
      </c>
      <c r="N323" s="18">
        <v>16566</v>
      </c>
      <c r="O323" s="11">
        <v>1052</v>
      </c>
      <c r="P323" s="11">
        <v>8.0299999999999994</v>
      </c>
      <c r="Q323" s="11">
        <v>803</v>
      </c>
      <c r="R323" s="15">
        <v>1606</v>
      </c>
      <c r="S323" s="18">
        <v>770</v>
      </c>
      <c r="T323" s="11">
        <v>3947477</v>
      </c>
      <c r="U323" s="16"/>
      <c r="V323" s="9"/>
      <c r="W323" s="17"/>
    </row>
    <row r="324" spans="1:23" x14ac:dyDescent="0.25">
      <c r="A324" s="9" t="s">
        <v>37</v>
      </c>
      <c r="B324" s="14">
        <v>333</v>
      </c>
      <c r="C324" s="10">
        <v>313</v>
      </c>
      <c r="D324" s="11">
        <v>28.1</v>
      </c>
      <c r="E324" s="11">
        <v>241</v>
      </c>
      <c r="F324" s="11">
        <v>18</v>
      </c>
      <c r="G324" s="18">
        <v>227.7</v>
      </c>
      <c r="H324" s="15">
        <v>178.6</v>
      </c>
      <c r="I324" s="18">
        <v>44537</v>
      </c>
      <c r="J324" s="11">
        <v>2671</v>
      </c>
      <c r="K324" s="11">
        <v>14</v>
      </c>
      <c r="L324" s="11">
        <v>1524</v>
      </c>
      <c r="M324" s="15">
        <v>3048</v>
      </c>
      <c r="N324" s="18">
        <v>14360</v>
      </c>
      <c r="O324" s="11">
        <v>918</v>
      </c>
      <c r="P324" s="11">
        <v>7.95</v>
      </c>
      <c r="Q324" s="11">
        <v>700</v>
      </c>
      <c r="R324" s="15">
        <v>1399</v>
      </c>
      <c r="S324" s="18">
        <v>537</v>
      </c>
      <c r="T324" s="11">
        <v>3329845</v>
      </c>
      <c r="U324" s="16"/>
      <c r="V324" s="9"/>
      <c r="W324" s="17"/>
    </row>
    <row r="325" spans="1:23" x14ac:dyDescent="0.25">
      <c r="A325" s="9" t="s">
        <v>37</v>
      </c>
      <c r="B325" s="14">
        <v>327</v>
      </c>
      <c r="C325" s="10">
        <v>310</v>
      </c>
      <c r="D325" s="11">
        <v>25.1</v>
      </c>
      <c r="E325" s="11">
        <v>241</v>
      </c>
      <c r="F325" s="11">
        <v>15.5</v>
      </c>
      <c r="G325" s="18">
        <v>201.3</v>
      </c>
      <c r="H325" s="15">
        <v>157.69999999999999</v>
      </c>
      <c r="I325" s="18">
        <v>38834</v>
      </c>
      <c r="J325" s="11">
        <v>2376</v>
      </c>
      <c r="K325" s="11">
        <v>13.89</v>
      </c>
      <c r="L325" s="11">
        <v>1344</v>
      </c>
      <c r="M325" s="15">
        <v>2687</v>
      </c>
      <c r="N325" s="18">
        <v>12529</v>
      </c>
      <c r="O325" s="11">
        <v>808</v>
      </c>
      <c r="P325" s="11">
        <v>7.9</v>
      </c>
      <c r="Q325" s="11">
        <v>615</v>
      </c>
      <c r="R325" s="15">
        <v>1231</v>
      </c>
      <c r="S325" s="18">
        <v>380</v>
      </c>
      <c r="T325" s="11">
        <v>2873334</v>
      </c>
      <c r="U325" s="16"/>
      <c r="V325" s="9"/>
      <c r="W325" s="17"/>
    </row>
    <row r="326" spans="1:23" x14ac:dyDescent="0.25">
      <c r="A326" s="9" t="s">
        <v>37</v>
      </c>
      <c r="B326" s="14">
        <v>323</v>
      </c>
      <c r="C326" s="10">
        <v>309</v>
      </c>
      <c r="D326" s="11">
        <v>22.9</v>
      </c>
      <c r="E326" s="11">
        <v>241</v>
      </c>
      <c r="F326" s="11">
        <v>14</v>
      </c>
      <c r="G326" s="18">
        <v>181.9</v>
      </c>
      <c r="H326" s="15">
        <v>142.9</v>
      </c>
      <c r="I326" s="18">
        <v>34672</v>
      </c>
      <c r="J326" s="11">
        <v>2147</v>
      </c>
      <c r="K326" s="11">
        <v>13.82</v>
      </c>
      <c r="L326" s="11">
        <v>1204</v>
      </c>
      <c r="M326" s="15">
        <v>2409</v>
      </c>
      <c r="N326" s="18">
        <v>11238</v>
      </c>
      <c r="O326" s="11">
        <v>728</v>
      </c>
      <c r="P326" s="11">
        <v>7.85</v>
      </c>
      <c r="Q326" s="11">
        <v>553</v>
      </c>
      <c r="R326" s="15">
        <v>1106</v>
      </c>
      <c r="S326" s="18">
        <v>286</v>
      </c>
      <c r="T326" s="11">
        <v>2526923</v>
      </c>
      <c r="U326" s="16"/>
      <c r="V326" s="9"/>
      <c r="W326" s="17"/>
    </row>
    <row r="327" spans="1:23" x14ac:dyDescent="0.25">
      <c r="A327" s="9" t="s">
        <v>37</v>
      </c>
      <c r="B327" s="14">
        <v>318</v>
      </c>
      <c r="C327" s="10">
        <v>308</v>
      </c>
      <c r="D327" s="11">
        <v>20.6</v>
      </c>
      <c r="E327" s="11">
        <v>241</v>
      </c>
      <c r="F327" s="11">
        <v>13.1</v>
      </c>
      <c r="G327" s="18">
        <v>165.2</v>
      </c>
      <c r="H327" s="15">
        <v>129.5</v>
      </c>
      <c r="I327" s="18">
        <v>30801</v>
      </c>
      <c r="J327" s="11">
        <v>1934</v>
      </c>
      <c r="K327" s="11">
        <v>13.67</v>
      </c>
      <c r="L327" s="11">
        <v>1082</v>
      </c>
      <c r="M327" s="15">
        <v>2163</v>
      </c>
      <c r="N327" s="18">
        <v>10031</v>
      </c>
      <c r="O327" s="11">
        <v>651</v>
      </c>
      <c r="P327" s="11">
        <v>7.8</v>
      </c>
      <c r="Q327" s="11">
        <v>495</v>
      </c>
      <c r="R327" s="15">
        <v>990</v>
      </c>
      <c r="S327" s="18">
        <v>212</v>
      </c>
      <c r="T327" s="11">
        <v>2220792</v>
      </c>
      <c r="U327" s="16"/>
      <c r="V327" s="9"/>
      <c r="W327" s="17"/>
    </row>
    <row r="328" spans="1:23" x14ac:dyDescent="0.25">
      <c r="A328" s="9" t="s">
        <v>37</v>
      </c>
      <c r="B328" s="14">
        <v>314</v>
      </c>
      <c r="C328" s="10">
        <v>307</v>
      </c>
      <c r="D328" s="11">
        <v>18.7</v>
      </c>
      <c r="E328" s="11">
        <v>241</v>
      </c>
      <c r="F328" s="11">
        <v>11.9</v>
      </c>
      <c r="G328" s="18">
        <v>149.69999999999999</v>
      </c>
      <c r="H328" s="15">
        <v>117.6</v>
      </c>
      <c r="I328" s="18">
        <v>27555</v>
      </c>
      <c r="J328" s="11">
        <v>1753</v>
      </c>
      <c r="K328" s="11">
        <v>13.56</v>
      </c>
      <c r="L328" s="11">
        <v>975</v>
      </c>
      <c r="M328" s="15">
        <v>1950</v>
      </c>
      <c r="N328" s="18">
        <v>8991</v>
      </c>
      <c r="O328" s="11">
        <v>587</v>
      </c>
      <c r="P328" s="11">
        <v>7.75</v>
      </c>
      <c r="Q328" s="11">
        <v>445</v>
      </c>
      <c r="R328" s="15">
        <v>890</v>
      </c>
      <c r="S328" s="18">
        <v>160</v>
      </c>
      <c r="T328" s="11">
        <v>1968368</v>
      </c>
      <c r="U328" s="16"/>
      <c r="V328" s="9"/>
      <c r="W328" s="17"/>
    </row>
    <row r="329" spans="1:23" x14ac:dyDescent="0.25">
      <c r="A329" s="9" t="s">
        <v>37</v>
      </c>
      <c r="B329" s="14">
        <v>311</v>
      </c>
      <c r="C329" s="10">
        <v>306</v>
      </c>
      <c r="D329" s="11">
        <v>17</v>
      </c>
      <c r="E329" s="11">
        <v>241</v>
      </c>
      <c r="F329" s="11">
        <v>10.9</v>
      </c>
      <c r="G329" s="18">
        <v>136.1</v>
      </c>
      <c r="H329" s="15">
        <v>107.1</v>
      </c>
      <c r="I329" s="18">
        <v>24849</v>
      </c>
      <c r="J329" s="11">
        <v>1596</v>
      </c>
      <c r="K329" s="11">
        <v>13.49</v>
      </c>
      <c r="L329" s="11">
        <v>885</v>
      </c>
      <c r="M329" s="15">
        <v>1770</v>
      </c>
      <c r="N329" s="18">
        <v>8117</v>
      </c>
      <c r="O329" s="11">
        <v>531</v>
      </c>
      <c r="P329" s="11">
        <v>7.72</v>
      </c>
      <c r="Q329" s="11">
        <v>403</v>
      </c>
      <c r="R329" s="15">
        <v>806</v>
      </c>
      <c r="S329" s="18">
        <v>122</v>
      </c>
      <c r="T329" s="11">
        <v>1756225</v>
      </c>
      <c r="U329" s="16"/>
      <c r="V329" s="9"/>
      <c r="W329" s="17"/>
    </row>
    <row r="330" spans="1:23" x14ac:dyDescent="0.25">
      <c r="A330" s="9" t="s">
        <v>37</v>
      </c>
      <c r="B330" s="14">
        <v>308</v>
      </c>
      <c r="C330" s="10">
        <v>305</v>
      </c>
      <c r="D330" s="11">
        <v>15.4</v>
      </c>
      <c r="E330" s="11">
        <v>241</v>
      </c>
      <c r="F330" s="11">
        <v>9.91</v>
      </c>
      <c r="G330" s="18">
        <v>123.2</v>
      </c>
      <c r="H330" s="15">
        <v>96.7</v>
      </c>
      <c r="I330" s="18">
        <v>22185</v>
      </c>
      <c r="J330" s="11">
        <v>1440</v>
      </c>
      <c r="K330" s="11">
        <v>13.41</v>
      </c>
      <c r="L330" s="11">
        <v>793</v>
      </c>
      <c r="M330" s="15">
        <v>1586</v>
      </c>
      <c r="N330" s="18">
        <v>7242</v>
      </c>
      <c r="O330" s="11">
        <v>477</v>
      </c>
      <c r="P330" s="11">
        <v>7.67</v>
      </c>
      <c r="Q330" s="11">
        <v>361</v>
      </c>
      <c r="R330" s="15">
        <v>723</v>
      </c>
      <c r="S330" s="18">
        <v>90.7</v>
      </c>
      <c r="T330" s="11">
        <v>1552137</v>
      </c>
      <c r="U330" s="16"/>
      <c r="V330" s="9"/>
      <c r="W330" s="17"/>
    </row>
    <row r="331" spans="1:23" x14ac:dyDescent="0.25">
      <c r="A331" s="9" t="s">
        <v>37</v>
      </c>
      <c r="B331" s="14">
        <v>310</v>
      </c>
      <c r="C331" s="10">
        <v>254</v>
      </c>
      <c r="D331" s="11">
        <v>16.3</v>
      </c>
      <c r="E331" s="11">
        <v>241</v>
      </c>
      <c r="F331" s="11">
        <v>9.14</v>
      </c>
      <c r="G331" s="18">
        <v>109.7</v>
      </c>
      <c r="H331" s="15">
        <v>86.3</v>
      </c>
      <c r="I331" s="18">
        <v>19771</v>
      </c>
      <c r="J331" s="11">
        <v>1278</v>
      </c>
      <c r="K331" s="11">
        <v>13.41</v>
      </c>
      <c r="L331" s="11">
        <v>708</v>
      </c>
      <c r="M331" s="15">
        <v>1416</v>
      </c>
      <c r="N331" s="18">
        <v>4454</v>
      </c>
      <c r="O331" s="11">
        <v>351</v>
      </c>
      <c r="P331" s="11">
        <v>6.38</v>
      </c>
      <c r="Q331" s="11">
        <v>266</v>
      </c>
      <c r="R331" s="15">
        <v>533</v>
      </c>
      <c r="S331" s="18">
        <v>87.4</v>
      </c>
      <c r="T331" s="11">
        <v>958673</v>
      </c>
      <c r="U331" s="16"/>
      <c r="V331" s="9"/>
      <c r="W331" s="17"/>
    </row>
    <row r="332" spans="1:23" x14ac:dyDescent="0.25">
      <c r="A332" s="9" t="s">
        <v>37</v>
      </c>
      <c r="B332" s="14">
        <v>306</v>
      </c>
      <c r="C332" s="10">
        <v>254</v>
      </c>
      <c r="D332" s="11">
        <v>14.6</v>
      </c>
      <c r="E332" s="11">
        <v>241</v>
      </c>
      <c r="F332" s="11">
        <v>8.76</v>
      </c>
      <c r="G332" s="18">
        <v>100.6</v>
      </c>
      <c r="H332" s="15">
        <v>78.900000000000006</v>
      </c>
      <c r="I332" s="18">
        <v>17690</v>
      </c>
      <c r="J332" s="11">
        <v>1157</v>
      </c>
      <c r="K332" s="11">
        <v>13.28</v>
      </c>
      <c r="L332" s="11">
        <v>638</v>
      </c>
      <c r="M332" s="15">
        <v>1277</v>
      </c>
      <c r="N332" s="18">
        <v>3987</v>
      </c>
      <c r="O332" s="11">
        <v>315</v>
      </c>
      <c r="P332" s="11">
        <v>6.3</v>
      </c>
      <c r="Q332" s="11">
        <v>238</v>
      </c>
      <c r="R332" s="15">
        <v>477</v>
      </c>
      <c r="S332" s="18">
        <v>65.8</v>
      </c>
      <c r="T332" s="11">
        <v>848573</v>
      </c>
      <c r="U332" s="16"/>
      <c r="V332" s="9"/>
      <c r="W332" s="17"/>
    </row>
    <row r="333" spans="1:23" x14ac:dyDescent="0.25">
      <c r="A333" s="9" t="s">
        <v>37</v>
      </c>
      <c r="B333" s="14">
        <v>310</v>
      </c>
      <c r="C333" s="10">
        <v>205</v>
      </c>
      <c r="D333" s="11">
        <v>16.3</v>
      </c>
      <c r="E333" s="11">
        <v>241</v>
      </c>
      <c r="F333" s="11">
        <v>9.4</v>
      </c>
      <c r="G333" s="18">
        <v>94.84</v>
      </c>
      <c r="H333" s="15">
        <v>74.400000000000006</v>
      </c>
      <c r="I333" s="18">
        <v>16400</v>
      </c>
      <c r="J333" s="11">
        <v>1060</v>
      </c>
      <c r="K333" s="11">
        <v>13.16</v>
      </c>
      <c r="L333" s="11">
        <v>593</v>
      </c>
      <c r="M333" s="15">
        <v>1186</v>
      </c>
      <c r="N333" s="18">
        <v>2343</v>
      </c>
      <c r="O333" s="11">
        <v>228</v>
      </c>
      <c r="P333" s="11">
        <v>4.9800000000000004</v>
      </c>
      <c r="Q333" s="11">
        <v>175</v>
      </c>
      <c r="R333" s="15">
        <v>351</v>
      </c>
      <c r="S333" s="18">
        <v>74.099999999999994</v>
      </c>
      <c r="T333" s="11">
        <v>504847</v>
      </c>
      <c r="U333" s="16"/>
      <c r="V333" s="9"/>
      <c r="W333" s="17"/>
    </row>
    <row r="334" spans="1:23" x14ac:dyDescent="0.25">
      <c r="A334" s="9" t="s">
        <v>37</v>
      </c>
      <c r="B334" s="14">
        <v>306</v>
      </c>
      <c r="C334" s="10">
        <v>204</v>
      </c>
      <c r="D334" s="11">
        <v>14.6</v>
      </c>
      <c r="E334" s="11">
        <v>241</v>
      </c>
      <c r="F334" s="11">
        <v>8.51</v>
      </c>
      <c r="G334" s="18">
        <v>85.16</v>
      </c>
      <c r="H334" s="15">
        <v>67</v>
      </c>
      <c r="I334" s="18">
        <v>14568</v>
      </c>
      <c r="J334" s="11">
        <v>952</v>
      </c>
      <c r="K334" s="11">
        <v>13.08</v>
      </c>
      <c r="L334" s="11">
        <v>530</v>
      </c>
      <c r="M334" s="15">
        <v>1060</v>
      </c>
      <c r="N334" s="18">
        <v>2081</v>
      </c>
      <c r="O334" s="11">
        <v>203</v>
      </c>
      <c r="P334" s="11">
        <v>4.93</v>
      </c>
      <c r="Q334" s="11">
        <v>156</v>
      </c>
      <c r="R334" s="15">
        <v>311</v>
      </c>
      <c r="S334" s="18">
        <v>54.5</v>
      </c>
      <c r="T334" s="11">
        <v>443084</v>
      </c>
      <c r="U334" s="16"/>
      <c r="V334" s="9"/>
      <c r="W334" s="17"/>
    </row>
    <row r="335" spans="1:23" x14ac:dyDescent="0.25">
      <c r="A335" s="9" t="s">
        <v>37</v>
      </c>
      <c r="B335" s="14">
        <v>303</v>
      </c>
      <c r="C335" s="10">
        <v>203</v>
      </c>
      <c r="D335" s="11">
        <v>13.1</v>
      </c>
      <c r="E335" s="11">
        <v>241</v>
      </c>
      <c r="F335" s="11">
        <v>7.49</v>
      </c>
      <c r="G335" s="18">
        <v>76.13</v>
      </c>
      <c r="H335" s="15">
        <v>59.5</v>
      </c>
      <c r="I335" s="18">
        <v>12903</v>
      </c>
      <c r="J335" s="11">
        <v>850</v>
      </c>
      <c r="K335" s="11">
        <v>13.03</v>
      </c>
      <c r="L335" s="11">
        <v>471</v>
      </c>
      <c r="M335" s="15">
        <v>942</v>
      </c>
      <c r="N335" s="18">
        <v>1836</v>
      </c>
      <c r="O335" s="11">
        <v>180</v>
      </c>
      <c r="P335" s="11">
        <v>4.9000000000000004</v>
      </c>
      <c r="Q335" s="11">
        <v>138</v>
      </c>
      <c r="R335" s="15">
        <v>275</v>
      </c>
      <c r="S335" s="18">
        <v>39.5</v>
      </c>
      <c r="T335" s="11">
        <v>386692</v>
      </c>
      <c r="U335" s="16"/>
      <c r="V335" s="9"/>
      <c r="W335" s="17"/>
    </row>
    <row r="336" spans="1:23" x14ac:dyDescent="0.25">
      <c r="A336" s="9" t="s">
        <v>37</v>
      </c>
      <c r="B336" s="14">
        <v>318</v>
      </c>
      <c r="C336" s="10">
        <v>167</v>
      </c>
      <c r="D336" s="11">
        <v>13.2</v>
      </c>
      <c r="E336" s="11">
        <v>267</v>
      </c>
      <c r="F336" s="11">
        <v>7.62</v>
      </c>
      <c r="G336" s="18">
        <v>66.45</v>
      </c>
      <c r="H336" s="15">
        <v>52.1</v>
      </c>
      <c r="I336" s="18">
        <v>11863</v>
      </c>
      <c r="J336" s="11">
        <v>747</v>
      </c>
      <c r="K336" s="11">
        <v>13.34</v>
      </c>
      <c r="L336" s="11">
        <v>420</v>
      </c>
      <c r="M336" s="15">
        <v>839</v>
      </c>
      <c r="N336" s="18">
        <v>1020</v>
      </c>
      <c r="O336" s="11">
        <v>122</v>
      </c>
      <c r="P336" s="11">
        <v>3.91</v>
      </c>
      <c r="Q336" s="11">
        <v>94.2</v>
      </c>
      <c r="R336" s="15">
        <v>188</v>
      </c>
      <c r="S336" s="18">
        <v>30.8</v>
      </c>
      <c r="T336" s="11">
        <v>236043</v>
      </c>
      <c r="U336" s="16"/>
      <c r="V336" s="9"/>
      <c r="W336" s="17"/>
    </row>
    <row r="337" spans="1:23" x14ac:dyDescent="0.25">
      <c r="A337" s="9" t="s">
        <v>37</v>
      </c>
      <c r="B337" s="14">
        <v>313</v>
      </c>
      <c r="C337" s="10">
        <v>166</v>
      </c>
      <c r="D337" s="11">
        <v>11.2</v>
      </c>
      <c r="E337" s="11">
        <v>267</v>
      </c>
      <c r="F337" s="11">
        <v>6.6</v>
      </c>
      <c r="G337" s="18">
        <v>56.71</v>
      </c>
      <c r="H337" s="15">
        <v>44.6</v>
      </c>
      <c r="I337" s="18">
        <v>9906</v>
      </c>
      <c r="J337" s="11">
        <v>633</v>
      </c>
      <c r="K337" s="11">
        <v>13.23</v>
      </c>
      <c r="L337" s="11">
        <v>353</v>
      </c>
      <c r="M337" s="15">
        <v>706</v>
      </c>
      <c r="N337" s="18">
        <v>845</v>
      </c>
      <c r="O337" s="11">
        <v>102</v>
      </c>
      <c r="P337" s="11">
        <v>3.86</v>
      </c>
      <c r="Q337" s="11">
        <v>78.3</v>
      </c>
      <c r="R337" s="15">
        <v>157</v>
      </c>
      <c r="S337" s="18">
        <v>19.100000000000001</v>
      </c>
      <c r="T337" s="11">
        <v>193346</v>
      </c>
      <c r="U337" s="16"/>
      <c r="V337" s="9"/>
      <c r="W337" s="17"/>
    </row>
    <row r="338" spans="1:23" x14ac:dyDescent="0.25">
      <c r="A338" s="9" t="s">
        <v>37</v>
      </c>
      <c r="B338" s="14">
        <v>310</v>
      </c>
      <c r="C338" s="10">
        <v>165</v>
      </c>
      <c r="D338" s="11">
        <v>9.65</v>
      </c>
      <c r="E338" s="11">
        <v>267</v>
      </c>
      <c r="F338" s="11">
        <v>5.84</v>
      </c>
      <c r="G338" s="18">
        <v>49.35</v>
      </c>
      <c r="H338" s="15">
        <v>38.700000000000003</v>
      </c>
      <c r="I338" s="18">
        <v>8491</v>
      </c>
      <c r="J338" s="11">
        <v>547</v>
      </c>
      <c r="K338" s="11">
        <v>13.13</v>
      </c>
      <c r="L338" s="11">
        <v>305</v>
      </c>
      <c r="M338" s="15">
        <v>610</v>
      </c>
      <c r="N338" s="18">
        <v>720</v>
      </c>
      <c r="O338" s="11">
        <v>87.5</v>
      </c>
      <c r="P338" s="11">
        <v>3.84</v>
      </c>
      <c r="Q338" s="11">
        <v>66.900000000000006</v>
      </c>
      <c r="R338" s="15">
        <v>134</v>
      </c>
      <c r="S338" s="18">
        <v>12.5</v>
      </c>
      <c r="T338" s="11">
        <v>163001</v>
      </c>
      <c r="U338" s="16"/>
      <c r="V338" s="9"/>
      <c r="W338" s="17"/>
    </row>
    <row r="339" spans="1:23" x14ac:dyDescent="0.25">
      <c r="A339" s="9" t="s">
        <v>37</v>
      </c>
      <c r="B339" s="14">
        <v>313</v>
      </c>
      <c r="C339" s="10">
        <v>102</v>
      </c>
      <c r="D339" s="11">
        <v>10.8</v>
      </c>
      <c r="E339" s="11">
        <v>267</v>
      </c>
      <c r="F339" s="11">
        <v>6.6</v>
      </c>
      <c r="G339" s="18">
        <v>41.81</v>
      </c>
      <c r="H339" s="15">
        <v>32.700000000000003</v>
      </c>
      <c r="I339" s="18">
        <v>6493</v>
      </c>
      <c r="J339" s="11">
        <v>416</v>
      </c>
      <c r="K339" s="11">
        <v>12.47</v>
      </c>
      <c r="L339" s="11">
        <v>240</v>
      </c>
      <c r="M339" s="15">
        <v>480</v>
      </c>
      <c r="N339" s="18">
        <v>194</v>
      </c>
      <c r="O339" s="11">
        <v>37.9</v>
      </c>
      <c r="P339" s="11">
        <v>2.15</v>
      </c>
      <c r="Q339" s="11">
        <v>30</v>
      </c>
      <c r="R339" s="15">
        <v>60</v>
      </c>
      <c r="S339" s="18">
        <v>12.1</v>
      </c>
      <c r="T339" s="11">
        <v>44040</v>
      </c>
      <c r="U339" s="16"/>
      <c r="V339" s="9"/>
      <c r="W339" s="17"/>
    </row>
    <row r="340" spans="1:23" x14ac:dyDescent="0.25">
      <c r="A340" s="9" t="s">
        <v>37</v>
      </c>
      <c r="B340" s="14">
        <v>309</v>
      </c>
      <c r="C340" s="10">
        <v>102</v>
      </c>
      <c r="D340" s="11">
        <v>8.89</v>
      </c>
      <c r="E340" s="11">
        <v>267</v>
      </c>
      <c r="F340" s="11">
        <v>5.97</v>
      </c>
      <c r="G340" s="18">
        <v>35.94</v>
      </c>
      <c r="H340" s="15">
        <v>28.3</v>
      </c>
      <c r="I340" s="18">
        <v>5411</v>
      </c>
      <c r="J340" s="11">
        <v>349</v>
      </c>
      <c r="K340" s="11">
        <v>12.24</v>
      </c>
      <c r="L340" s="11">
        <v>202</v>
      </c>
      <c r="M340" s="15">
        <v>405</v>
      </c>
      <c r="N340" s="18">
        <v>157</v>
      </c>
      <c r="O340" s="11">
        <v>30.8</v>
      </c>
      <c r="P340" s="11">
        <v>2.09</v>
      </c>
      <c r="Q340" s="11">
        <v>24.4</v>
      </c>
      <c r="R340" s="15">
        <v>48.8</v>
      </c>
      <c r="S340" s="18">
        <v>7.49</v>
      </c>
      <c r="T340" s="11">
        <v>35178</v>
      </c>
      <c r="U340" s="16"/>
      <c r="V340" s="9"/>
      <c r="W340" s="17"/>
    </row>
    <row r="341" spans="1:23" x14ac:dyDescent="0.25">
      <c r="A341" s="9" t="s">
        <v>37</v>
      </c>
      <c r="B341" s="14">
        <v>305</v>
      </c>
      <c r="C341" s="10">
        <v>101</v>
      </c>
      <c r="D341" s="11">
        <v>6.73</v>
      </c>
      <c r="E341" s="11">
        <v>267</v>
      </c>
      <c r="F341" s="11">
        <v>5.59</v>
      </c>
      <c r="G341" s="18">
        <v>30.39</v>
      </c>
      <c r="H341" s="15">
        <v>23.8</v>
      </c>
      <c r="I341" s="18">
        <v>4287</v>
      </c>
      <c r="J341" s="11">
        <v>280</v>
      </c>
      <c r="K341" s="11">
        <v>11.86</v>
      </c>
      <c r="L341" s="11">
        <v>165</v>
      </c>
      <c r="M341" s="15">
        <v>329</v>
      </c>
      <c r="N341" s="18">
        <v>117</v>
      </c>
      <c r="O341" s="11">
        <v>23.1</v>
      </c>
      <c r="P341" s="11">
        <v>1.96</v>
      </c>
      <c r="Q341" s="11">
        <v>18.5</v>
      </c>
      <c r="R341" s="15">
        <v>37</v>
      </c>
      <c r="S341" s="18">
        <v>4.16</v>
      </c>
      <c r="T341" s="11">
        <v>26021</v>
      </c>
      <c r="U341" s="16"/>
      <c r="V341" s="9"/>
      <c r="W341" s="17"/>
    </row>
    <row r="342" spans="1:23" x14ac:dyDescent="0.25">
      <c r="A342" s="9" t="s">
        <v>37</v>
      </c>
      <c r="B342" s="14">
        <v>303</v>
      </c>
      <c r="C342" s="10">
        <v>101</v>
      </c>
      <c r="D342" s="11">
        <v>5.72</v>
      </c>
      <c r="E342" s="11">
        <v>267</v>
      </c>
      <c r="F342" s="11">
        <v>5.08</v>
      </c>
      <c r="G342" s="18">
        <v>26.84</v>
      </c>
      <c r="H342" s="15">
        <v>20.8</v>
      </c>
      <c r="I342" s="18">
        <v>3688</v>
      </c>
      <c r="J342" s="11">
        <v>244</v>
      </c>
      <c r="K342" s="11">
        <v>11.73</v>
      </c>
      <c r="L342" s="11">
        <v>143</v>
      </c>
      <c r="M342" s="15">
        <v>285</v>
      </c>
      <c r="N342" s="18">
        <v>98.2</v>
      </c>
      <c r="O342" s="11">
        <v>19.5</v>
      </c>
      <c r="P342" s="11">
        <v>1.91</v>
      </c>
      <c r="Q342" s="11">
        <v>15.6</v>
      </c>
      <c r="R342" s="15">
        <v>31.1</v>
      </c>
      <c r="S342" s="18">
        <v>2.91</v>
      </c>
      <c r="T342" s="11">
        <v>21590</v>
      </c>
      <c r="U342" s="16"/>
      <c r="V342" s="9"/>
      <c r="W342" s="17"/>
    </row>
    <row r="343" spans="1:23" x14ac:dyDescent="0.25">
      <c r="A343" s="9" t="s">
        <v>37</v>
      </c>
      <c r="B343" s="14">
        <v>289</v>
      </c>
      <c r="C343" s="10">
        <v>265</v>
      </c>
      <c r="D343" s="11">
        <v>31.8</v>
      </c>
      <c r="E343" s="11">
        <v>194</v>
      </c>
      <c r="F343" s="11">
        <v>19.2</v>
      </c>
      <c r="G343" s="18">
        <v>212.3</v>
      </c>
      <c r="H343" s="15">
        <v>166.7</v>
      </c>
      <c r="I343" s="18">
        <v>29802</v>
      </c>
      <c r="J343" s="11">
        <v>2065</v>
      </c>
      <c r="K343" s="11">
        <v>11.84</v>
      </c>
      <c r="L343" s="11">
        <v>1204</v>
      </c>
      <c r="M343" s="15">
        <v>2409</v>
      </c>
      <c r="N343" s="18">
        <v>9823</v>
      </c>
      <c r="O343" s="11">
        <v>742</v>
      </c>
      <c r="P343" s="11">
        <v>6.81</v>
      </c>
      <c r="Q343" s="11">
        <v>567</v>
      </c>
      <c r="R343" s="15">
        <v>1134</v>
      </c>
      <c r="S343" s="18">
        <v>629</v>
      </c>
      <c r="T343" s="11">
        <v>1616586</v>
      </c>
      <c r="U343" s="16"/>
      <c r="V343" s="9"/>
      <c r="W343" s="17"/>
    </row>
    <row r="344" spans="1:23" x14ac:dyDescent="0.25">
      <c r="A344" s="9" t="s">
        <v>37</v>
      </c>
      <c r="B344" s="14">
        <v>282</v>
      </c>
      <c r="C344" s="10">
        <v>263</v>
      </c>
      <c r="D344" s="11">
        <v>28.4</v>
      </c>
      <c r="E344" s="11">
        <v>194</v>
      </c>
      <c r="F344" s="11">
        <v>17.3</v>
      </c>
      <c r="G344" s="18">
        <v>189.7</v>
      </c>
      <c r="H344" s="15">
        <v>148.80000000000001</v>
      </c>
      <c r="I344" s="18">
        <v>25931</v>
      </c>
      <c r="J344" s="11">
        <v>1835</v>
      </c>
      <c r="K344" s="11">
        <v>11.68</v>
      </c>
      <c r="L344" s="11">
        <v>1065</v>
      </c>
      <c r="M344" s="15">
        <v>2130</v>
      </c>
      <c r="N344" s="18">
        <v>8616</v>
      </c>
      <c r="O344" s="11">
        <v>655</v>
      </c>
      <c r="P344" s="11">
        <v>6.73</v>
      </c>
      <c r="Q344" s="11">
        <v>500</v>
      </c>
      <c r="R344" s="15">
        <v>1000</v>
      </c>
      <c r="S344" s="18">
        <v>454</v>
      </c>
      <c r="T344" s="11">
        <v>1382960</v>
      </c>
      <c r="U344" s="16"/>
      <c r="V344" s="9"/>
      <c r="W344" s="17"/>
    </row>
    <row r="345" spans="1:23" x14ac:dyDescent="0.25">
      <c r="A345" s="9" t="s">
        <v>37</v>
      </c>
      <c r="B345" s="14">
        <v>275</v>
      </c>
      <c r="C345" s="10">
        <v>261</v>
      </c>
      <c r="D345" s="11">
        <v>25.1</v>
      </c>
      <c r="E345" s="11">
        <v>194</v>
      </c>
      <c r="F345" s="11">
        <v>15.4</v>
      </c>
      <c r="G345" s="18">
        <v>167.1</v>
      </c>
      <c r="H345" s="15">
        <v>131</v>
      </c>
      <c r="I345" s="18">
        <v>22227</v>
      </c>
      <c r="J345" s="11">
        <v>1614</v>
      </c>
      <c r="K345" s="11">
        <v>11.53</v>
      </c>
      <c r="L345" s="11">
        <v>926</v>
      </c>
      <c r="M345" s="15">
        <v>1852</v>
      </c>
      <c r="N345" s="18">
        <v>7451</v>
      </c>
      <c r="O345" s="11">
        <v>570</v>
      </c>
      <c r="P345" s="11">
        <v>6.68</v>
      </c>
      <c r="Q345" s="11">
        <v>435</v>
      </c>
      <c r="R345" s="15">
        <v>870</v>
      </c>
      <c r="S345" s="18">
        <v>313</v>
      </c>
      <c r="T345" s="11">
        <v>1162760</v>
      </c>
      <c r="U345" s="16"/>
      <c r="V345" s="9"/>
      <c r="W345" s="17"/>
    </row>
    <row r="346" spans="1:23" x14ac:dyDescent="0.25">
      <c r="A346" s="9" t="s">
        <v>37</v>
      </c>
      <c r="B346" s="14">
        <v>269</v>
      </c>
      <c r="C346" s="10">
        <v>259</v>
      </c>
      <c r="D346" s="11">
        <v>22.1</v>
      </c>
      <c r="E346" s="11">
        <v>194</v>
      </c>
      <c r="F346" s="11">
        <v>13.5</v>
      </c>
      <c r="G346" s="18">
        <v>145.80000000000001</v>
      </c>
      <c r="H346" s="15">
        <v>114.6</v>
      </c>
      <c r="I346" s="18">
        <v>18939</v>
      </c>
      <c r="J346" s="11">
        <v>1408</v>
      </c>
      <c r="K346" s="11">
        <v>11.4</v>
      </c>
      <c r="L346" s="11">
        <v>800</v>
      </c>
      <c r="M346" s="15">
        <v>1599</v>
      </c>
      <c r="N346" s="18">
        <v>6410</v>
      </c>
      <c r="O346" s="11">
        <v>493</v>
      </c>
      <c r="P346" s="11">
        <v>6.6</v>
      </c>
      <c r="Q346" s="11">
        <v>376</v>
      </c>
      <c r="R346" s="15">
        <v>752</v>
      </c>
      <c r="S346" s="18">
        <v>213</v>
      </c>
      <c r="T346" s="11">
        <v>974785</v>
      </c>
      <c r="U346" s="16"/>
      <c r="V346" s="9"/>
      <c r="W346" s="17"/>
    </row>
    <row r="347" spans="1:23" x14ac:dyDescent="0.25">
      <c r="A347" s="9" t="s">
        <v>37</v>
      </c>
      <c r="B347" s="14">
        <v>264</v>
      </c>
      <c r="C347" s="10">
        <v>257</v>
      </c>
      <c r="D347" s="11">
        <v>19.600000000000001</v>
      </c>
      <c r="E347" s="11">
        <v>194</v>
      </c>
      <c r="F347" s="11">
        <v>11.9</v>
      </c>
      <c r="G347" s="18">
        <v>129</v>
      </c>
      <c r="H347" s="15">
        <v>101.2</v>
      </c>
      <c r="I347" s="18">
        <v>16400</v>
      </c>
      <c r="J347" s="11">
        <v>1241</v>
      </c>
      <c r="K347" s="11">
        <v>11.28</v>
      </c>
      <c r="L347" s="11">
        <v>699</v>
      </c>
      <c r="M347" s="15">
        <v>1398</v>
      </c>
      <c r="N347" s="18">
        <v>5578</v>
      </c>
      <c r="O347" s="11">
        <v>433</v>
      </c>
      <c r="P347" s="11">
        <v>6.58</v>
      </c>
      <c r="Q347" s="11">
        <v>329</v>
      </c>
      <c r="R347" s="15">
        <v>657</v>
      </c>
      <c r="S347" s="18">
        <v>148</v>
      </c>
      <c r="T347" s="11">
        <v>832461</v>
      </c>
      <c r="U347" s="16"/>
      <c r="V347" s="9"/>
      <c r="W347" s="17"/>
    </row>
    <row r="348" spans="1:23" x14ac:dyDescent="0.25">
      <c r="A348" s="9" t="s">
        <v>37</v>
      </c>
      <c r="B348" s="14">
        <v>260</v>
      </c>
      <c r="C348" s="10">
        <v>256</v>
      </c>
      <c r="D348" s="11">
        <v>17.3</v>
      </c>
      <c r="E348" s="11">
        <v>194</v>
      </c>
      <c r="F348" s="11">
        <v>10.7</v>
      </c>
      <c r="G348" s="18">
        <v>113.5</v>
      </c>
      <c r="H348" s="15">
        <v>89.3</v>
      </c>
      <c r="I348" s="18">
        <v>14193</v>
      </c>
      <c r="J348" s="11">
        <v>1093</v>
      </c>
      <c r="K348" s="11">
        <v>11.15</v>
      </c>
      <c r="L348" s="11">
        <v>611</v>
      </c>
      <c r="M348" s="15">
        <v>1222</v>
      </c>
      <c r="N348" s="18">
        <v>4828</v>
      </c>
      <c r="O348" s="11">
        <v>377</v>
      </c>
      <c r="P348" s="11">
        <v>6.53</v>
      </c>
      <c r="Q348" s="11">
        <v>287</v>
      </c>
      <c r="R348" s="15">
        <v>574</v>
      </c>
      <c r="S348" s="18">
        <v>103</v>
      </c>
      <c r="T348" s="11">
        <v>708935</v>
      </c>
      <c r="U348" s="16"/>
      <c r="V348" s="9"/>
      <c r="W348" s="17"/>
    </row>
    <row r="349" spans="1:23" x14ac:dyDescent="0.25">
      <c r="A349" s="9" t="s">
        <v>37</v>
      </c>
      <c r="B349" s="14">
        <v>256</v>
      </c>
      <c r="C349" s="10">
        <v>255</v>
      </c>
      <c r="D349" s="11">
        <v>15.6</v>
      </c>
      <c r="E349" s="11">
        <v>194</v>
      </c>
      <c r="F349" s="11">
        <v>9.4</v>
      </c>
      <c r="G349" s="18">
        <v>101.9</v>
      </c>
      <c r="H349" s="15">
        <v>80.400000000000006</v>
      </c>
      <c r="I349" s="18">
        <v>12612</v>
      </c>
      <c r="J349" s="11">
        <v>983</v>
      </c>
      <c r="K349" s="11">
        <v>11.1</v>
      </c>
      <c r="L349" s="11">
        <v>546</v>
      </c>
      <c r="M349" s="15">
        <v>1091</v>
      </c>
      <c r="N349" s="18">
        <v>4287</v>
      </c>
      <c r="O349" s="11">
        <v>338</v>
      </c>
      <c r="P349" s="11">
        <v>6.5</v>
      </c>
      <c r="Q349" s="11">
        <v>256</v>
      </c>
      <c r="R349" s="15">
        <v>513</v>
      </c>
      <c r="S349" s="18">
        <v>75.8</v>
      </c>
      <c r="T349" s="11">
        <v>623003</v>
      </c>
      <c r="U349" s="16"/>
      <c r="V349" s="9"/>
      <c r="W349" s="17"/>
    </row>
    <row r="350" spans="1:23" x14ac:dyDescent="0.25">
      <c r="A350" s="9" t="s">
        <v>37</v>
      </c>
      <c r="B350" s="14">
        <v>253</v>
      </c>
      <c r="C350" s="10">
        <v>254</v>
      </c>
      <c r="D350" s="11">
        <v>14.2</v>
      </c>
      <c r="E350" s="11">
        <v>194</v>
      </c>
      <c r="F350" s="11">
        <v>8.64</v>
      </c>
      <c r="G350" s="18">
        <v>92.9</v>
      </c>
      <c r="H350" s="15">
        <v>72.900000000000006</v>
      </c>
      <c r="I350" s="18">
        <v>11321</v>
      </c>
      <c r="J350" s="11">
        <v>895</v>
      </c>
      <c r="K350" s="11">
        <v>11.05</v>
      </c>
      <c r="L350" s="11">
        <v>495</v>
      </c>
      <c r="M350" s="15">
        <v>990</v>
      </c>
      <c r="N350" s="18">
        <v>3888</v>
      </c>
      <c r="O350" s="11">
        <v>306</v>
      </c>
      <c r="P350" s="11">
        <v>6.45</v>
      </c>
      <c r="Q350" s="11">
        <v>232</v>
      </c>
      <c r="R350" s="15">
        <v>464</v>
      </c>
      <c r="S350" s="18">
        <v>57.9</v>
      </c>
      <c r="T350" s="11">
        <v>555869</v>
      </c>
      <c r="U350" s="16"/>
      <c r="V350" s="9"/>
      <c r="W350" s="17"/>
    </row>
    <row r="351" spans="1:23" x14ac:dyDescent="0.25">
      <c r="A351" s="9" t="s">
        <v>37</v>
      </c>
      <c r="B351" s="14">
        <v>257</v>
      </c>
      <c r="C351" s="10">
        <v>204</v>
      </c>
      <c r="D351" s="11">
        <v>15.7</v>
      </c>
      <c r="E351" s="11">
        <v>194</v>
      </c>
      <c r="F351" s="11">
        <v>8.89</v>
      </c>
      <c r="G351" s="18">
        <v>85.81</v>
      </c>
      <c r="H351" s="15">
        <v>67</v>
      </c>
      <c r="I351" s="18">
        <v>10323</v>
      </c>
      <c r="J351" s="11">
        <v>805</v>
      </c>
      <c r="K351" s="11">
        <v>10.97</v>
      </c>
      <c r="L351" s="11">
        <v>450</v>
      </c>
      <c r="M351" s="15">
        <v>900</v>
      </c>
      <c r="N351" s="18">
        <v>2223</v>
      </c>
      <c r="O351" s="11">
        <v>218</v>
      </c>
      <c r="P351" s="11">
        <v>5.1100000000000003</v>
      </c>
      <c r="Q351" s="11">
        <v>166</v>
      </c>
      <c r="R351" s="15">
        <v>333</v>
      </c>
      <c r="S351" s="18">
        <v>62.9</v>
      </c>
      <c r="T351" s="11">
        <v>322243</v>
      </c>
      <c r="U351" s="16"/>
      <c r="V351" s="9"/>
      <c r="W351" s="17"/>
    </row>
    <row r="352" spans="1:23" x14ac:dyDescent="0.25">
      <c r="A352" s="9" t="s">
        <v>37</v>
      </c>
      <c r="B352" s="14">
        <v>252</v>
      </c>
      <c r="C352" s="10">
        <v>203</v>
      </c>
      <c r="D352" s="11">
        <v>13.5</v>
      </c>
      <c r="E352" s="11">
        <v>194</v>
      </c>
      <c r="F352" s="11">
        <v>8</v>
      </c>
      <c r="G352" s="18">
        <v>74.19</v>
      </c>
      <c r="H352" s="15">
        <v>58</v>
      </c>
      <c r="I352" s="18">
        <v>8699</v>
      </c>
      <c r="J352" s="11">
        <v>690</v>
      </c>
      <c r="K352" s="11">
        <v>10.85</v>
      </c>
      <c r="L352" s="11">
        <v>383</v>
      </c>
      <c r="M352" s="15">
        <v>767</v>
      </c>
      <c r="N352" s="18">
        <v>1873</v>
      </c>
      <c r="O352" s="11">
        <v>185</v>
      </c>
      <c r="P352" s="11">
        <v>5.03</v>
      </c>
      <c r="Q352" s="11">
        <v>141</v>
      </c>
      <c r="R352" s="15">
        <v>282</v>
      </c>
      <c r="S352" s="18">
        <v>40.799999999999997</v>
      </c>
      <c r="T352" s="11">
        <v>266388</v>
      </c>
      <c r="U352" s="16"/>
      <c r="V352" s="9"/>
      <c r="W352" s="17"/>
    </row>
    <row r="353" spans="1:23" x14ac:dyDescent="0.25">
      <c r="A353" s="9" t="s">
        <v>37</v>
      </c>
      <c r="B353" s="14">
        <v>247</v>
      </c>
      <c r="C353" s="10">
        <v>202</v>
      </c>
      <c r="D353" s="11">
        <v>11</v>
      </c>
      <c r="E353" s="11">
        <v>194</v>
      </c>
      <c r="F353" s="11">
        <v>7.37</v>
      </c>
      <c r="G353" s="18">
        <v>62.65</v>
      </c>
      <c r="H353" s="15">
        <v>49.1</v>
      </c>
      <c r="I353" s="18">
        <v>7076</v>
      </c>
      <c r="J353" s="11">
        <v>574</v>
      </c>
      <c r="K353" s="11">
        <v>10.64</v>
      </c>
      <c r="L353" s="11">
        <v>318</v>
      </c>
      <c r="M353" s="15">
        <v>636</v>
      </c>
      <c r="N353" s="18">
        <v>1523</v>
      </c>
      <c r="O353" s="11">
        <v>151</v>
      </c>
      <c r="P353" s="11">
        <v>4.93</v>
      </c>
      <c r="Q353" s="11">
        <v>115</v>
      </c>
      <c r="R353" s="15">
        <v>229</v>
      </c>
      <c r="S353" s="18">
        <v>24.1</v>
      </c>
      <c r="T353" s="11">
        <v>212143</v>
      </c>
      <c r="U353" s="16"/>
      <c r="V353" s="9"/>
      <c r="W353" s="17"/>
    </row>
    <row r="354" spans="1:23" x14ac:dyDescent="0.25">
      <c r="A354" s="9" t="s">
        <v>37</v>
      </c>
      <c r="B354" s="14">
        <v>266</v>
      </c>
      <c r="C354" s="10">
        <v>148</v>
      </c>
      <c r="D354" s="11">
        <v>13</v>
      </c>
      <c r="E354" s="11">
        <v>219</v>
      </c>
      <c r="F354" s="11">
        <v>7.62</v>
      </c>
      <c r="G354" s="18">
        <v>57.03</v>
      </c>
      <c r="H354" s="15">
        <v>44.6</v>
      </c>
      <c r="I354" s="18">
        <v>7076</v>
      </c>
      <c r="J354" s="11">
        <v>531</v>
      </c>
      <c r="K354" s="11">
        <v>11.13</v>
      </c>
      <c r="L354" s="11">
        <v>300</v>
      </c>
      <c r="M354" s="15">
        <v>600</v>
      </c>
      <c r="N354" s="18">
        <v>695</v>
      </c>
      <c r="O354" s="11">
        <v>94.2</v>
      </c>
      <c r="P354" s="11">
        <v>3.48</v>
      </c>
      <c r="Q354" s="11">
        <v>72.400000000000006</v>
      </c>
      <c r="R354" s="15">
        <v>145</v>
      </c>
      <c r="S354" s="18">
        <v>25.8</v>
      </c>
      <c r="T354" s="11">
        <v>111174</v>
      </c>
      <c r="U354" s="16"/>
      <c r="V354" s="9"/>
      <c r="W354" s="17"/>
    </row>
    <row r="355" spans="1:23" x14ac:dyDescent="0.25">
      <c r="A355" s="9" t="s">
        <v>37</v>
      </c>
      <c r="B355" s="14">
        <v>262</v>
      </c>
      <c r="C355" s="10">
        <v>147</v>
      </c>
      <c r="D355" s="11">
        <v>11.2</v>
      </c>
      <c r="E355" s="11">
        <v>219</v>
      </c>
      <c r="F355" s="11">
        <v>6.6</v>
      </c>
      <c r="G355" s="18">
        <v>49.1</v>
      </c>
      <c r="H355" s="15">
        <v>38.700000000000003</v>
      </c>
      <c r="I355" s="18">
        <v>5994</v>
      </c>
      <c r="J355" s="11">
        <v>457</v>
      </c>
      <c r="K355" s="11">
        <v>11.05</v>
      </c>
      <c r="L355" s="11">
        <v>256</v>
      </c>
      <c r="M355" s="15">
        <v>513</v>
      </c>
      <c r="N355" s="18">
        <v>587</v>
      </c>
      <c r="O355" s="11">
        <v>80.099999999999994</v>
      </c>
      <c r="P355" s="11">
        <v>3.45</v>
      </c>
      <c r="Q355" s="11">
        <v>61.5</v>
      </c>
      <c r="R355" s="15">
        <v>123</v>
      </c>
      <c r="S355" s="18">
        <v>16.600000000000001</v>
      </c>
      <c r="T355" s="11">
        <v>92645</v>
      </c>
      <c r="U355" s="16"/>
      <c r="V355" s="9"/>
      <c r="W355" s="17"/>
    </row>
    <row r="356" spans="1:23" x14ac:dyDescent="0.25">
      <c r="A356" s="9" t="s">
        <v>37</v>
      </c>
      <c r="B356" s="14">
        <v>258</v>
      </c>
      <c r="C356" s="10">
        <v>146</v>
      </c>
      <c r="D356" s="11">
        <v>9.14</v>
      </c>
      <c r="E356" s="11">
        <v>219</v>
      </c>
      <c r="F356" s="11">
        <v>6.1</v>
      </c>
      <c r="G356" s="18">
        <v>41.87</v>
      </c>
      <c r="H356" s="15">
        <v>32.700000000000003</v>
      </c>
      <c r="I356" s="18">
        <v>4912</v>
      </c>
      <c r="J356" s="11">
        <v>380</v>
      </c>
      <c r="K356" s="11">
        <v>10.85</v>
      </c>
      <c r="L356" s="11">
        <v>213</v>
      </c>
      <c r="M356" s="15">
        <v>426</v>
      </c>
      <c r="N356" s="18">
        <v>475</v>
      </c>
      <c r="O356" s="11">
        <v>65.099999999999994</v>
      </c>
      <c r="P356" s="11">
        <v>3.38</v>
      </c>
      <c r="Q356" s="11">
        <v>50</v>
      </c>
      <c r="R356" s="15">
        <v>100</v>
      </c>
      <c r="S356" s="18">
        <v>10</v>
      </c>
      <c r="T356" s="11">
        <v>73847</v>
      </c>
      <c r="U356" s="16"/>
      <c r="V356" s="9"/>
      <c r="W356" s="17"/>
    </row>
    <row r="357" spans="1:23" x14ac:dyDescent="0.25">
      <c r="A357" s="9" t="s">
        <v>37</v>
      </c>
      <c r="B357" s="14">
        <v>260</v>
      </c>
      <c r="C357" s="10">
        <v>102</v>
      </c>
      <c r="D357" s="11">
        <v>10</v>
      </c>
      <c r="E357" s="11">
        <v>219</v>
      </c>
      <c r="F357" s="11">
        <v>6.35</v>
      </c>
      <c r="G357" s="18">
        <v>36.26</v>
      </c>
      <c r="H357" s="15">
        <v>28.3</v>
      </c>
      <c r="I357" s="18">
        <v>4008</v>
      </c>
      <c r="J357" s="11">
        <v>308</v>
      </c>
      <c r="K357" s="11">
        <v>10.52</v>
      </c>
      <c r="L357" s="11">
        <v>177</v>
      </c>
      <c r="M357" s="15">
        <v>354</v>
      </c>
      <c r="N357" s="18">
        <v>179</v>
      </c>
      <c r="O357" s="11">
        <v>35.1</v>
      </c>
      <c r="P357" s="11">
        <v>2.2200000000000002</v>
      </c>
      <c r="Q357" s="11">
        <v>27.4</v>
      </c>
      <c r="R357" s="15">
        <v>54.9</v>
      </c>
      <c r="S357" s="18">
        <v>9.57</v>
      </c>
      <c r="T357" s="11">
        <v>27928</v>
      </c>
      <c r="U357" s="16"/>
      <c r="V357" s="9"/>
      <c r="W357" s="17"/>
    </row>
    <row r="358" spans="1:23" x14ac:dyDescent="0.25">
      <c r="A358" s="9" t="s">
        <v>37</v>
      </c>
      <c r="B358" s="14">
        <v>257</v>
      </c>
      <c r="C358" s="10">
        <v>102</v>
      </c>
      <c r="D358" s="11">
        <v>8.3800000000000008</v>
      </c>
      <c r="E358" s="11">
        <v>219</v>
      </c>
      <c r="F358" s="11">
        <v>6.1</v>
      </c>
      <c r="G358" s="18">
        <v>32.19</v>
      </c>
      <c r="H358" s="15">
        <v>25.3</v>
      </c>
      <c r="I358" s="18">
        <v>3409</v>
      </c>
      <c r="J358" s="11">
        <v>265</v>
      </c>
      <c r="K358" s="11">
        <v>10.29</v>
      </c>
      <c r="L358" s="11">
        <v>153</v>
      </c>
      <c r="M358" s="15">
        <v>306</v>
      </c>
      <c r="N358" s="18">
        <v>148</v>
      </c>
      <c r="O358" s="11">
        <v>29.2</v>
      </c>
      <c r="P358" s="11">
        <v>2.14</v>
      </c>
      <c r="Q358" s="11">
        <v>22.9</v>
      </c>
      <c r="R358" s="15">
        <v>45.9</v>
      </c>
      <c r="S358" s="18">
        <v>6.66</v>
      </c>
      <c r="T358" s="11">
        <v>22852</v>
      </c>
      <c r="U358" s="16"/>
      <c r="V358" s="9"/>
      <c r="W358" s="17"/>
    </row>
    <row r="359" spans="1:23" x14ac:dyDescent="0.25">
      <c r="A359" s="9" t="s">
        <v>37</v>
      </c>
      <c r="B359" s="14">
        <v>254</v>
      </c>
      <c r="C359" s="10">
        <v>102</v>
      </c>
      <c r="D359" s="11">
        <v>6.86</v>
      </c>
      <c r="E359" s="11">
        <v>219</v>
      </c>
      <c r="F359" s="11">
        <v>5.84</v>
      </c>
      <c r="G359" s="18">
        <v>28.45</v>
      </c>
      <c r="H359" s="15">
        <v>22.3</v>
      </c>
      <c r="I359" s="18">
        <v>2868</v>
      </c>
      <c r="J359" s="11">
        <v>226</v>
      </c>
      <c r="K359" s="11">
        <v>10.029999999999999</v>
      </c>
      <c r="L359" s="11">
        <v>131</v>
      </c>
      <c r="M359" s="15">
        <v>262</v>
      </c>
      <c r="N359" s="18">
        <v>120</v>
      </c>
      <c r="O359" s="11">
        <v>23.8</v>
      </c>
      <c r="P359" s="11">
        <v>2.06</v>
      </c>
      <c r="Q359" s="11">
        <v>18.8</v>
      </c>
      <c r="R359" s="15">
        <v>37.700000000000003</v>
      </c>
      <c r="S359" s="18">
        <v>4.16</v>
      </c>
      <c r="T359" s="11">
        <v>18341</v>
      </c>
      <c r="U359" s="16"/>
      <c r="V359" s="9"/>
      <c r="W359" s="17"/>
    </row>
    <row r="360" spans="1:23" x14ac:dyDescent="0.25">
      <c r="A360" s="9" t="s">
        <v>37</v>
      </c>
      <c r="B360" s="14">
        <v>251</v>
      </c>
      <c r="C360" s="10">
        <v>101</v>
      </c>
      <c r="D360" s="11">
        <v>5.33</v>
      </c>
      <c r="E360" s="11">
        <v>219</v>
      </c>
      <c r="F360" s="11">
        <v>4.83</v>
      </c>
      <c r="G360" s="18">
        <v>22.84</v>
      </c>
      <c r="H360" s="15">
        <v>17.899999999999999</v>
      </c>
      <c r="I360" s="18">
        <v>2239</v>
      </c>
      <c r="J360" s="11">
        <v>179</v>
      </c>
      <c r="K360" s="11">
        <v>9.91</v>
      </c>
      <c r="L360" s="11">
        <v>103</v>
      </c>
      <c r="M360" s="15">
        <v>206</v>
      </c>
      <c r="N360" s="18">
        <v>90.7</v>
      </c>
      <c r="O360" s="11">
        <v>18</v>
      </c>
      <c r="P360" s="11">
        <v>1.99</v>
      </c>
      <c r="Q360" s="11">
        <v>14.3</v>
      </c>
      <c r="R360" s="15">
        <v>28.5</v>
      </c>
      <c r="S360" s="18">
        <v>2.08</v>
      </c>
      <c r="T360" s="11">
        <v>13668</v>
      </c>
      <c r="U360" s="16"/>
      <c r="V360" s="9"/>
      <c r="W360" s="17"/>
    </row>
    <row r="361" spans="1:23" x14ac:dyDescent="0.25">
      <c r="A361" s="9" t="s">
        <v>37</v>
      </c>
      <c r="B361" s="14">
        <v>229</v>
      </c>
      <c r="C361" s="10">
        <v>210</v>
      </c>
      <c r="D361" s="11">
        <v>23.7</v>
      </c>
      <c r="E361" s="11">
        <v>156</v>
      </c>
      <c r="F361" s="11">
        <v>14.5</v>
      </c>
      <c r="G361" s="18">
        <v>127.1</v>
      </c>
      <c r="H361" s="15">
        <v>99.7</v>
      </c>
      <c r="I361" s="18">
        <v>11321</v>
      </c>
      <c r="J361" s="11">
        <v>990</v>
      </c>
      <c r="K361" s="11">
        <v>9.4499999999999993</v>
      </c>
      <c r="L361" s="11">
        <v>575</v>
      </c>
      <c r="M361" s="15">
        <v>1150</v>
      </c>
      <c r="N361" s="18">
        <v>3688</v>
      </c>
      <c r="O361" s="11">
        <v>351</v>
      </c>
      <c r="P361" s="11">
        <v>5.38</v>
      </c>
      <c r="Q361" s="11">
        <v>268</v>
      </c>
      <c r="R361" s="15">
        <v>536</v>
      </c>
      <c r="S361" s="18">
        <v>211</v>
      </c>
      <c r="T361" s="11">
        <v>386692</v>
      </c>
      <c r="U361" s="16"/>
      <c r="V361" s="9"/>
      <c r="W361" s="17"/>
    </row>
    <row r="362" spans="1:23" x14ac:dyDescent="0.25">
      <c r="A362" s="9" t="s">
        <v>37</v>
      </c>
      <c r="B362" s="14">
        <v>222</v>
      </c>
      <c r="C362" s="10">
        <v>209</v>
      </c>
      <c r="D362" s="11">
        <v>20.6</v>
      </c>
      <c r="E362" s="11">
        <v>156</v>
      </c>
      <c r="F362" s="11">
        <v>13</v>
      </c>
      <c r="G362" s="18">
        <v>110.3</v>
      </c>
      <c r="H362" s="15">
        <v>86.3</v>
      </c>
      <c r="I362" s="18">
        <v>9490</v>
      </c>
      <c r="J362" s="11">
        <v>852</v>
      </c>
      <c r="K362" s="11">
        <v>9.27</v>
      </c>
      <c r="L362" s="11">
        <v>490</v>
      </c>
      <c r="M362" s="15">
        <v>980</v>
      </c>
      <c r="N362" s="18">
        <v>3126</v>
      </c>
      <c r="O362" s="11">
        <v>300</v>
      </c>
      <c r="P362" s="11">
        <v>5.33</v>
      </c>
      <c r="Q362" s="11">
        <v>229</v>
      </c>
      <c r="R362" s="15">
        <v>457</v>
      </c>
      <c r="S362" s="18">
        <v>139</v>
      </c>
      <c r="T362" s="11">
        <v>316872</v>
      </c>
      <c r="U362" s="16"/>
      <c r="V362" s="9"/>
      <c r="W362" s="17"/>
    </row>
    <row r="363" spans="1:23" x14ac:dyDescent="0.25">
      <c r="A363" s="9" t="s">
        <v>37</v>
      </c>
      <c r="B363" s="14">
        <v>216</v>
      </c>
      <c r="C363" s="10">
        <v>206</v>
      </c>
      <c r="D363" s="11">
        <v>17.399999999999999</v>
      </c>
      <c r="E363" s="11">
        <v>156</v>
      </c>
      <c r="F363" s="11">
        <v>10.199999999999999</v>
      </c>
      <c r="G363" s="18">
        <v>90.97</v>
      </c>
      <c r="H363" s="15">
        <v>71.400000000000006</v>
      </c>
      <c r="I363" s="18">
        <v>7659</v>
      </c>
      <c r="J363" s="11">
        <v>710</v>
      </c>
      <c r="K363" s="11">
        <v>9.17</v>
      </c>
      <c r="L363" s="11">
        <v>401</v>
      </c>
      <c r="M363" s="15">
        <v>803</v>
      </c>
      <c r="N363" s="18">
        <v>2535</v>
      </c>
      <c r="O363" s="11">
        <v>246</v>
      </c>
      <c r="P363" s="11">
        <v>5.28</v>
      </c>
      <c r="Q363" s="11">
        <v>188</v>
      </c>
      <c r="R363" s="15">
        <v>375</v>
      </c>
      <c r="S363" s="18">
        <v>81.599999999999994</v>
      </c>
      <c r="T363" s="11">
        <v>250007</v>
      </c>
      <c r="U363" s="16"/>
      <c r="V363" s="9"/>
      <c r="W363" s="17"/>
    </row>
    <row r="364" spans="1:23" x14ac:dyDescent="0.25">
      <c r="A364" s="9" t="s">
        <v>37</v>
      </c>
      <c r="B364" s="14">
        <v>210</v>
      </c>
      <c r="C364" s="10">
        <v>205</v>
      </c>
      <c r="D364" s="11">
        <v>14.2</v>
      </c>
      <c r="E364" s="11">
        <v>156</v>
      </c>
      <c r="F364" s="11">
        <v>9.14</v>
      </c>
      <c r="G364" s="18">
        <v>75.48</v>
      </c>
      <c r="H364" s="15">
        <v>59.5</v>
      </c>
      <c r="I364" s="18">
        <v>6077</v>
      </c>
      <c r="J364" s="11">
        <v>582</v>
      </c>
      <c r="K364" s="11">
        <v>8.9700000000000006</v>
      </c>
      <c r="L364" s="11">
        <v>326</v>
      </c>
      <c r="M364" s="15">
        <v>652</v>
      </c>
      <c r="N364" s="18">
        <v>2044</v>
      </c>
      <c r="O364" s="11">
        <v>200</v>
      </c>
      <c r="P364" s="11">
        <v>5.18</v>
      </c>
      <c r="Q364" s="11">
        <v>152</v>
      </c>
      <c r="R364" s="15">
        <v>303</v>
      </c>
      <c r="S364" s="18">
        <v>46.6</v>
      </c>
      <c r="T364" s="11">
        <v>194957</v>
      </c>
      <c r="U364" s="16"/>
      <c r="V364" s="9"/>
      <c r="W364" s="17"/>
    </row>
    <row r="365" spans="1:23" x14ac:dyDescent="0.25">
      <c r="A365" s="9" t="s">
        <v>37</v>
      </c>
      <c r="B365" s="14">
        <v>206</v>
      </c>
      <c r="C365" s="10">
        <v>204</v>
      </c>
      <c r="D365" s="11">
        <v>12.6</v>
      </c>
      <c r="E365" s="11">
        <v>156</v>
      </c>
      <c r="F365" s="11">
        <v>7.87</v>
      </c>
      <c r="G365" s="18">
        <v>66.45</v>
      </c>
      <c r="H365" s="15">
        <v>52.1</v>
      </c>
      <c r="I365" s="18">
        <v>5286</v>
      </c>
      <c r="J365" s="11">
        <v>511</v>
      </c>
      <c r="K365" s="11">
        <v>8.92</v>
      </c>
      <c r="L365" s="11">
        <v>284</v>
      </c>
      <c r="M365" s="15">
        <v>569</v>
      </c>
      <c r="N365" s="18">
        <v>1773</v>
      </c>
      <c r="O365" s="11">
        <v>174</v>
      </c>
      <c r="P365" s="11">
        <v>5.16</v>
      </c>
      <c r="Q365" s="11">
        <v>132</v>
      </c>
      <c r="R365" s="15">
        <v>264</v>
      </c>
      <c r="S365" s="18">
        <v>32</v>
      </c>
      <c r="T365" s="11">
        <v>166224</v>
      </c>
      <c r="U365" s="16"/>
      <c r="V365" s="9"/>
      <c r="W365" s="17"/>
    </row>
    <row r="366" spans="1:23" x14ac:dyDescent="0.25">
      <c r="A366" s="9" t="s">
        <v>37</v>
      </c>
      <c r="B366" s="14">
        <v>203</v>
      </c>
      <c r="C366" s="10">
        <v>203</v>
      </c>
      <c r="D366" s="11">
        <v>11</v>
      </c>
      <c r="E366" s="11">
        <v>156</v>
      </c>
      <c r="F366" s="11">
        <v>7.24</v>
      </c>
      <c r="G366" s="18">
        <v>58.9</v>
      </c>
      <c r="H366" s="15">
        <v>46.1</v>
      </c>
      <c r="I366" s="18">
        <v>4579</v>
      </c>
      <c r="J366" s="11">
        <v>451</v>
      </c>
      <c r="K366" s="11">
        <v>8.81</v>
      </c>
      <c r="L366" s="11">
        <v>249</v>
      </c>
      <c r="M366" s="15">
        <v>498</v>
      </c>
      <c r="N366" s="18">
        <v>1544</v>
      </c>
      <c r="O366" s="11">
        <v>152</v>
      </c>
      <c r="P366" s="11">
        <v>5.13</v>
      </c>
      <c r="Q366" s="11">
        <v>116</v>
      </c>
      <c r="R366" s="15">
        <v>231</v>
      </c>
      <c r="S366" s="18">
        <v>22.5</v>
      </c>
      <c r="T366" s="11">
        <v>142324</v>
      </c>
      <c r="U366" s="16"/>
      <c r="V366" s="9"/>
      <c r="W366" s="17"/>
    </row>
    <row r="367" spans="1:23" x14ac:dyDescent="0.25">
      <c r="A367" s="9" t="s">
        <v>37</v>
      </c>
      <c r="B367" s="14">
        <v>205</v>
      </c>
      <c r="C367" s="10">
        <v>166</v>
      </c>
      <c r="D367" s="11">
        <v>11.8</v>
      </c>
      <c r="E367" s="11">
        <v>156</v>
      </c>
      <c r="F367" s="11">
        <v>7.24</v>
      </c>
      <c r="G367" s="18">
        <v>53.23</v>
      </c>
      <c r="H367" s="15">
        <v>41.7</v>
      </c>
      <c r="I367" s="18">
        <v>4079</v>
      </c>
      <c r="J367" s="11">
        <v>398</v>
      </c>
      <c r="K367" s="11">
        <v>8.76</v>
      </c>
      <c r="L367" s="11">
        <v>223</v>
      </c>
      <c r="M367" s="15">
        <v>446</v>
      </c>
      <c r="N367" s="18">
        <v>903</v>
      </c>
      <c r="O367" s="11">
        <v>109</v>
      </c>
      <c r="P367" s="11">
        <v>4.1100000000000003</v>
      </c>
      <c r="Q367" s="11">
        <v>82.8</v>
      </c>
      <c r="R367" s="15">
        <v>166</v>
      </c>
      <c r="S367" s="18">
        <v>22.5</v>
      </c>
      <c r="T367" s="11">
        <v>83783</v>
      </c>
      <c r="U367" s="16"/>
      <c r="V367" s="9"/>
      <c r="W367" s="17"/>
    </row>
    <row r="368" spans="1:23" x14ac:dyDescent="0.25">
      <c r="A368" s="9" t="s">
        <v>37</v>
      </c>
      <c r="B368" s="14">
        <v>201</v>
      </c>
      <c r="C368" s="10">
        <v>165</v>
      </c>
      <c r="D368" s="11">
        <v>10.199999999999999</v>
      </c>
      <c r="E368" s="11">
        <v>156</v>
      </c>
      <c r="F368" s="11">
        <v>6.22</v>
      </c>
      <c r="G368" s="18">
        <v>45.68</v>
      </c>
      <c r="H368" s="15">
        <v>35.700000000000003</v>
      </c>
      <c r="I368" s="18">
        <v>3446</v>
      </c>
      <c r="J368" s="11">
        <v>342</v>
      </c>
      <c r="K368" s="11">
        <v>8.69</v>
      </c>
      <c r="L368" s="11">
        <v>190</v>
      </c>
      <c r="M368" s="15">
        <v>380</v>
      </c>
      <c r="N368" s="18">
        <v>762</v>
      </c>
      <c r="O368" s="11">
        <v>92.3</v>
      </c>
      <c r="P368" s="11">
        <v>4.09</v>
      </c>
      <c r="Q368" s="11">
        <v>70.2</v>
      </c>
      <c r="R368" s="15">
        <v>140</v>
      </c>
      <c r="S368" s="18">
        <v>14.6</v>
      </c>
      <c r="T368" s="11">
        <v>69551</v>
      </c>
      <c r="U368" s="16"/>
      <c r="V368" s="9"/>
      <c r="W368" s="17"/>
    </row>
    <row r="369" spans="1:23" x14ac:dyDescent="0.25">
      <c r="A369" s="9" t="s">
        <v>37</v>
      </c>
      <c r="B369" s="14">
        <v>210</v>
      </c>
      <c r="C369" s="10">
        <v>134</v>
      </c>
      <c r="D369" s="11">
        <v>10.199999999999999</v>
      </c>
      <c r="E369" s="11">
        <v>168</v>
      </c>
      <c r="F369" s="11">
        <v>6.35</v>
      </c>
      <c r="G369" s="18">
        <v>39.74</v>
      </c>
      <c r="H369" s="15">
        <v>31.3</v>
      </c>
      <c r="I369" s="18">
        <v>3134</v>
      </c>
      <c r="J369" s="11">
        <v>298</v>
      </c>
      <c r="K369" s="11">
        <v>8.86</v>
      </c>
      <c r="L369" s="11">
        <v>167</v>
      </c>
      <c r="M369" s="15">
        <v>334</v>
      </c>
      <c r="N369" s="18">
        <v>407</v>
      </c>
      <c r="O369" s="11">
        <v>60.8</v>
      </c>
      <c r="P369" s="11">
        <v>3.2</v>
      </c>
      <c r="Q369" s="11">
        <v>46.6</v>
      </c>
      <c r="R369" s="15">
        <v>93.2</v>
      </c>
      <c r="S369" s="18">
        <v>11.7</v>
      </c>
      <c r="T369" s="11">
        <v>40817</v>
      </c>
      <c r="U369" s="16"/>
      <c r="V369" s="9"/>
      <c r="W369" s="17"/>
    </row>
    <row r="370" spans="1:23" x14ac:dyDescent="0.25">
      <c r="A370" s="9" t="s">
        <v>37</v>
      </c>
      <c r="B370" s="14">
        <v>207</v>
      </c>
      <c r="C370" s="10">
        <v>133</v>
      </c>
      <c r="D370" s="11">
        <v>8.3800000000000008</v>
      </c>
      <c r="E370" s="11">
        <v>168</v>
      </c>
      <c r="F370" s="11">
        <v>5.84</v>
      </c>
      <c r="G370" s="18">
        <v>33.94</v>
      </c>
      <c r="H370" s="15">
        <v>26.8</v>
      </c>
      <c r="I370" s="18">
        <v>2576</v>
      </c>
      <c r="J370" s="11">
        <v>249</v>
      </c>
      <c r="K370" s="11">
        <v>8.7100000000000009</v>
      </c>
      <c r="L370" s="11">
        <v>139</v>
      </c>
      <c r="M370" s="15">
        <v>279</v>
      </c>
      <c r="N370" s="18">
        <v>332</v>
      </c>
      <c r="O370" s="11">
        <v>49.8</v>
      </c>
      <c r="P370" s="11">
        <v>3.12</v>
      </c>
      <c r="Q370" s="11">
        <v>38.200000000000003</v>
      </c>
      <c r="R370" s="15">
        <v>76.400000000000006</v>
      </c>
      <c r="S370" s="18">
        <v>7.08</v>
      </c>
      <c r="T370" s="11">
        <v>32761</v>
      </c>
      <c r="U370" s="16"/>
      <c r="V370" s="9"/>
      <c r="W370" s="17"/>
    </row>
    <row r="371" spans="1:23" x14ac:dyDescent="0.25">
      <c r="A371" s="9" t="s">
        <v>37</v>
      </c>
      <c r="B371" s="14">
        <v>206</v>
      </c>
      <c r="C371" s="10">
        <v>102</v>
      </c>
      <c r="D371" s="11">
        <v>8</v>
      </c>
      <c r="E371" s="11">
        <v>168</v>
      </c>
      <c r="F371" s="11">
        <v>6.22</v>
      </c>
      <c r="G371" s="18">
        <v>28.65</v>
      </c>
      <c r="H371" s="15">
        <v>22.3</v>
      </c>
      <c r="I371" s="18">
        <v>1998</v>
      </c>
      <c r="J371" s="11">
        <v>193</v>
      </c>
      <c r="K371" s="11">
        <v>8.36</v>
      </c>
      <c r="L371" s="11">
        <v>111</v>
      </c>
      <c r="M371" s="15">
        <v>223</v>
      </c>
      <c r="N371" s="18">
        <v>142</v>
      </c>
      <c r="O371" s="11">
        <v>27.9</v>
      </c>
      <c r="P371" s="11">
        <v>2.23</v>
      </c>
      <c r="Q371" s="11">
        <v>21.9</v>
      </c>
      <c r="R371" s="15">
        <v>43.8</v>
      </c>
      <c r="S371" s="18">
        <v>5.83</v>
      </c>
      <c r="T371" s="11">
        <v>13910</v>
      </c>
      <c r="U371" s="16"/>
      <c r="V371" s="9"/>
      <c r="W371" s="17"/>
    </row>
    <row r="372" spans="1:23" x14ac:dyDescent="0.25">
      <c r="A372" s="9" t="s">
        <v>37</v>
      </c>
      <c r="B372" s="14">
        <v>203</v>
      </c>
      <c r="C372" s="10">
        <v>102</v>
      </c>
      <c r="D372" s="11">
        <v>6.48</v>
      </c>
      <c r="E372" s="11">
        <v>168</v>
      </c>
      <c r="F372" s="11">
        <v>5.84</v>
      </c>
      <c r="G372" s="18">
        <v>24.77</v>
      </c>
      <c r="H372" s="15">
        <v>19.3</v>
      </c>
      <c r="I372" s="18">
        <v>1648</v>
      </c>
      <c r="J372" s="11">
        <v>162</v>
      </c>
      <c r="K372" s="11">
        <v>8.15</v>
      </c>
      <c r="L372" s="11">
        <v>93.4</v>
      </c>
      <c r="M372" s="15">
        <v>187</v>
      </c>
      <c r="N372" s="18">
        <v>114</v>
      </c>
      <c r="O372" s="11">
        <v>22.5</v>
      </c>
      <c r="P372" s="11">
        <v>2.14</v>
      </c>
      <c r="Q372" s="11">
        <v>17.600000000000001</v>
      </c>
      <c r="R372" s="15">
        <v>35.200000000000003</v>
      </c>
      <c r="S372" s="18">
        <v>3.75</v>
      </c>
      <c r="T372" s="11">
        <v>10956</v>
      </c>
      <c r="U372" s="16"/>
      <c r="V372" s="9"/>
      <c r="W372" s="17"/>
    </row>
    <row r="373" spans="1:23" x14ac:dyDescent="0.25">
      <c r="A373" s="9" t="s">
        <v>37</v>
      </c>
      <c r="B373" s="14">
        <v>200</v>
      </c>
      <c r="C373" s="10">
        <v>100</v>
      </c>
      <c r="D373" s="11">
        <v>5.21</v>
      </c>
      <c r="E373" s="11">
        <v>168</v>
      </c>
      <c r="F373" s="11">
        <v>4.32</v>
      </c>
      <c r="G373" s="18">
        <v>19.100000000000001</v>
      </c>
      <c r="H373" s="15">
        <v>14.9</v>
      </c>
      <c r="I373" s="18">
        <v>1282</v>
      </c>
      <c r="J373" s="11">
        <v>128</v>
      </c>
      <c r="K373" s="11">
        <v>8.18</v>
      </c>
      <c r="L373" s="11">
        <v>72.7</v>
      </c>
      <c r="M373" s="15">
        <v>145</v>
      </c>
      <c r="N373" s="18">
        <v>87</v>
      </c>
      <c r="O373" s="11">
        <v>17.399999999999999</v>
      </c>
      <c r="P373" s="11">
        <v>2.14</v>
      </c>
      <c r="Q373" s="11">
        <v>13.6</v>
      </c>
      <c r="R373" s="15">
        <v>27.2</v>
      </c>
      <c r="S373" s="18">
        <v>1.66</v>
      </c>
      <c r="T373" s="11">
        <v>8298</v>
      </c>
      <c r="U373" s="16"/>
      <c r="V373" s="9"/>
      <c r="W373" s="17"/>
    </row>
    <row r="374" spans="1:23" x14ac:dyDescent="0.25">
      <c r="A374" s="9" t="s">
        <v>37</v>
      </c>
      <c r="B374" s="14">
        <v>162</v>
      </c>
      <c r="C374" s="10">
        <v>154</v>
      </c>
      <c r="D374" s="11">
        <v>11.6</v>
      </c>
      <c r="E374" s="11">
        <v>121</v>
      </c>
      <c r="F374" s="11">
        <v>8.1300000000000008</v>
      </c>
      <c r="G374" s="18">
        <v>47.35</v>
      </c>
      <c r="H374" s="15">
        <v>37.200000000000003</v>
      </c>
      <c r="I374" s="18">
        <v>2223</v>
      </c>
      <c r="J374" s="11">
        <v>274</v>
      </c>
      <c r="K374" s="11">
        <v>6.86</v>
      </c>
      <c r="L374" s="11">
        <v>155</v>
      </c>
      <c r="M374" s="15">
        <v>310</v>
      </c>
      <c r="N374" s="18">
        <v>712</v>
      </c>
      <c r="O374" s="11">
        <v>91.9</v>
      </c>
      <c r="P374" s="11">
        <v>3.86</v>
      </c>
      <c r="Q374" s="11">
        <v>70.099999999999994</v>
      </c>
      <c r="R374" s="15">
        <v>140</v>
      </c>
      <c r="S374" s="18">
        <v>19.100000000000001</v>
      </c>
      <c r="T374" s="11">
        <v>40280</v>
      </c>
      <c r="U374" s="16"/>
      <c r="V374" s="9"/>
      <c r="W374" s="17"/>
    </row>
    <row r="375" spans="1:23" x14ac:dyDescent="0.25">
      <c r="A375" s="9" t="s">
        <v>37</v>
      </c>
      <c r="B375" s="14">
        <v>157</v>
      </c>
      <c r="C375" s="10">
        <v>153</v>
      </c>
      <c r="D375" s="11">
        <v>9.27</v>
      </c>
      <c r="E375" s="11">
        <v>121</v>
      </c>
      <c r="F375" s="11">
        <v>6.6</v>
      </c>
      <c r="G375" s="18">
        <v>37.869999999999997</v>
      </c>
      <c r="H375" s="15">
        <v>29.8</v>
      </c>
      <c r="I375" s="18">
        <v>1723</v>
      </c>
      <c r="J375" s="11">
        <v>220</v>
      </c>
      <c r="K375" s="11">
        <v>6.76</v>
      </c>
      <c r="L375" s="11">
        <v>122</v>
      </c>
      <c r="M375" s="15">
        <v>244</v>
      </c>
      <c r="N375" s="18">
        <v>554</v>
      </c>
      <c r="O375" s="11">
        <v>72.3</v>
      </c>
      <c r="P375" s="11">
        <v>3.81</v>
      </c>
      <c r="Q375" s="11">
        <v>55.1</v>
      </c>
      <c r="R375" s="15">
        <v>110</v>
      </c>
      <c r="S375" s="18">
        <v>10</v>
      </c>
      <c r="T375" s="11">
        <v>30345</v>
      </c>
      <c r="U375" s="16"/>
      <c r="V375" s="9"/>
      <c r="W375" s="17"/>
    </row>
    <row r="376" spans="1:23" x14ac:dyDescent="0.25">
      <c r="A376" s="9" t="s">
        <v>37</v>
      </c>
      <c r="B376" s="14">
        <v>152</v>
      </c>
      <c r="C376" s="10">
        <v>152</v>
      </c>
      <c r="D376" s="11">
        <v>6.6</v>
      </c>
      <c r="E376" s="11">
        <v>121</v>
      </c>
      <c r="F376" s="11">
        <v>5.84</v>
      </c>
      <c r="G376" s="18">
        <v>28.58</v>
      </c>
      <c r="H376" s="15">
        <v>22.3</v>
      </c>
      <c r="I376" s="18">
        <v>1211</v>
      </c>
      <c r="J376" s="11">
        <v>159</v>
      </c>
      <c r="K376" s="11">
        <v>6.5</v>
      </c>
      <c r="L376" s="11">
        <v>88.5</v>
      </c>
      <c r="M376" s="15">
        <v>177</v>
      </c>
      <c r="N376" s="18">
        <v>388</v>
      </c>
      <c r="O376" s="11">
        <v>51</v>
      </c>
      <c r="P376" s="11">
        <v>3.71</v>
      </c>
      <c r="Q376" s="11">
        <v>38.9</v>
      </c>
      <c r="R376" s="15">
        <v>77.8</v>
      </c>
      <c r="S376" s="18">
        <v>4.16</v>
      </c>
      <c r="T376" s="11">
        <v>20543</v>
      </c>
      <c r="U376" s="16"/>
      <c r="V376" s="9"/>
      <c r="W376" s="17"/>
    </row>
    <row r="377" spans="1:23" x14ac:dyDescent="0.25">
      <c r="A377" s="9" t="s">
        <v>37</v>
      </c>
      <c r="B377" s="14">
        <v>160</v>
      </c>
      <c r="C377" s="10">
        <v>102</v>
      </c>
      <c r="D377" s="11">
        <v>10.3</v>
      </c>
      <c r="E377" s="11">
        <v>121</v>
      </c>
      <c r="F377" s="11">
        <v>6.6</v>
      </c>
      <c r="G377" s="18">
        <v>30.58</v>
      </c>
      <c r="H377" s="15">
        <v>23.8</v>
      </c>
      <c r="I377" s="18">
        <v>1336</v>
      </c>
      <c r="J377" s="11">
        <v>167</v>
      </c>
      <c r="K377" s="11">
        <v>6.6</v>
      </c>
      <c r="L377" s="11">
        <v>95.9</v>
      </c>
      <c r="M377" s="15">
        <v>192</v>
      </c>
      <c r="N377" s="18">
        <v>184</v>
      </c>
      <c r="O377" s="11">
        <v>36.1</v>
      </c>
      <c r="P377" s="11">
        <v>2.4500000000000002</v>
      </c>
      <c r="Q377" s="11">
        <v>27.8</v>
      </c>
      <c r="R377" s="15">
        <v>55.6</v>
      </c>
      <c r="S377" s="18">
        <v>9.16</v>
      </c>
      <c r="T377" s="11">
        <v>10258</v>
      </c>
      <c r="U377" s="16"/>
      <c r="V377" s="9"/>
      <c r="W377" s="17"/>
    </row>
    <row r="378" spans="1:23" x14ac:dyDescent="0.25">
      <c r="A378" s="9" t="s">
        <v>37</v>
      </c>
      <c r="B378" s="14">
        <v>153</v>
      </c>
      <c r="C378" s="10">
        <v>102</v>
      </c>
      <c r="D378" s="11">
        <v>7.11</v>
      </c>
      <c r="E378" s="11">
        <v>121</v>
      </c>
      <c r="F378" s="11">
        <v>5.84</v>
      </c>
      <c r="G378" s="18">
        <v>22.9</v>
      </c>
      <c r="H378" s="15">
        <v>17.899999999999999</v>
      </c>
      <c r="I378" s="18">
        <v>920</v>
      </c>
      <c r="J378" s="11">
        <v>120</v>
      </c>
      <c r="K378" s="11">
        <v>6.32</v>
      </c>
      <c r="L378" s="11">
        <v>68</v>
      </c>
      <c r="M378" s="15">
        <v>136</v>
      </c>
      <c r="N378" s="18">
        <v>124</v>
      </c>
      <c r="O378" s="11">
        <v>24.6</v>
      </c>
      <c r="P378" s="11">
        <v>2.33</v>
      </c>
      <c r="Q378" s="11">
        <v>19</v>
      </c>
      <c r="R378" s="15">
        <v>38</v>
      </c>
      <c r="S378" s="18">
        <v>3.75</v>
      </c>
      <c r="T378" s="11">
        <v>6633</v>
      </c>
      <c r="U378" s="16"/>
      <c r="V378" s="9"/>
      <c r="W378" s="17"/>
    </row>
    <row r="379" spans="1:23" x14ac:dyDescent="0.25">
      <c r="A379" s="9" t="s">
        <v>37</v>
      </c>
      <c r="B379" s="14">
        <v>150</v>
      </c>
      <c r="C379" s="10">
        <v>100</v>
      </c>
      <c r="D379" s="11">
        <v>5.46</v>
      </c>
      <c r="E379" s="11">
        <v>121</v>
      </c>
      <c r="F379" s="11">
        <v>4.32</v>
      </c>
      <c r="G379" s="18">
        <v>17.29</v>
      </c>
      <c r="H379" s="15">
        <v>13.4</v>
      </c>
      <c r="I379" s="18">
        <v>683</v>
      </c>
      <c r="J379" s="11">
        <v>91</v>
      </c>
      <c r="K379" s="11">
        <v>6.27</v>
      </c>
      <c r="L379" s="11">
        <v>51</v>
      </c>
      <c r="M379" s="15">
        <v>102</v>
      </c>
      <c r="N379" s="18">
        <v>91.2</v>
      </c>
      <c r="O379" s="11">
        <v>18.2</v>
      </c>
      <c r="P379" s="11">
        <v>2.2999999999999998</v>
      </c>
      <c r="Q379" s="11">
        <v>14.1</v>
      </c>
      <c r="R379" s="15">
        <v>28.2</v>
      </c>
      <c r="S379" s="18">
        <v>1.66</v>
      </c>
      <c r="T379" s="11">
        <v>4753</v>
      </c>
      <c r="U379" s="16"/>
      <c r="V379" s="9"/>
      <c r="W379" s="17"/>
    </row>
    <row r="380" spans="1:23" x14ac:dyDescent="0.25">
      <c r="A380" s="9" t="s">
        <v>37</v>
      </c>
      <c r="B380" s="14">
        <v>131</v>
      </c>
      <c r="C380" s="10">
        <v>128</v>
      </c>
      <c r="D380" s="11">
        <v>10.9</v>
      </c>
      <c r="E380" s="11">
        <v>88.9</v>
      </c>
      <c r="F380" s="11">
        <v>6.86</v>
      </c>
      <c r="G380" s="18">
        <v>35.74</v>
      </c>
      <c r="H380" s="15">
        <v>28.3</v>
      </c>
      <c r="I380" s="18">
        <v>1091</v>
      </c>
      <c r="J380" s="11">
        <v>167</v>
      </c>
      <c r="K380" s="11">
        <v>5.51</v>
      </c>
      <c r="L380" s="11">
        <v>95</v>
      </c>
      <c r="M380" s="15">
        <v>190</v>
      </c>
      <c r="N380" s="18">
        <v>380</v>
      </c>
      <c r="O380" s="11">
        <v>59.5</v>
      </c>
      <c r="P380" s="11">
        <v>3.25</v>
      </c>
      <c r="Q380" s="11">
        <v>45.3</v>
      </c>
      <c r="R380" s="15">
        <v>90.6</v>
      </c>
      <c r="S380" s="18">
        <v>12.9</v>
      </c>
      <c r="T380" s="11">
        <v>13642</v>
      </c>
      <c r="U380" s="16"/>
      <c r="V380" s="9"/>
      <c r="W380" s="17"/>
    </row>
    <row r="381" spans="1:23" x14ac:dyDescent="0.25">
      <c r="A381" s="9" t="s">
        <v>37</v>
      </c>
      <c r="B381" s="14">
        <v>127</v>
      </c>
      <c r="C381" s="10">
        <v>127</v>
      </c>
      <c r="D381" s="11">
        <v>9.14</v>
      </c>
      <c r="E381" s="11">
        <v>88.9</v>
      </c>
      <c r="F381" s="11">
        <v>6.1</v>
      </c>
      <c r="G381" s="18">
        <v>30.19</v>
      </c>
      <c r="H381" s="15">
        <v>23.8</v>
      </c>
      <c r="I381" s="18">
        <v>887</v>
      </c>
      <c r="J381" s="11">
        <v>139</v>
      </c>
      <c r="K381" s="11">
        <v>5.41</v>
      </c>
      <c r="L381" s="11">
        <v>78.599999999999994</v>
      </c>
      <c r="M381" s="15">
        <v>157</v>
      </c>
      <c r="N381" s="18">
        <v>313</v>
      </c>
      <c r="O381" s="11">
        <v>49.2</v>
      </c>
      <c r="P381" s="11">
        <v>3.23</v>
      </c>
      <c r="Q381" s="11">
        <v>37.4</v>
      </c>
      <c r="R381" s="15">
        <v>74.900000000000006</v>
      </c>
      <c r="S381" s="18">
        <v>7.91</v>
      </c>
      <c r="T381" s="11">
        <v>10903</v>
      </c>
      <c r="U381" s="16"/>
      <c r="V381" s="9"/>
      <c r="W381" s="17"/>
    </row>
    <row r="382" spans="1:23" x14ac:dyDescent="0.25">
      <c r="A382" s="9" t="s">
        <v>37</v>
      </c>
      <c r="B382" s="14">
        <v>106</v>
      </c>
      <c r="C382" s="10">
        <v>103</v>
      </c>
      <c r="D382" s="11">
        <v>8.76</v>
      </c>
      <c r="E382" s="11">
        <v>69.900000000000006</v>
      </c>
      <c r="F382" s="11">
        <v>7.11</v>
      </c>
      <c r="G382" s="18">
        <v>24.71</v>
      </c>
      <c r="H382" s="15">
        <v>19.3</v>
      </c>
      <c r="I382" s="18">
        <v>470</v>
      </c>
      <c r="J382" s="11">
        <v>89.5</v>
      </c>
      <c r="K382" s="11">
        <v>4.37</v>
      </c>
      <c r="L382" s="11">
        <v>51.5</v>
      </c>
      <c r="M382" s="15">
        <v>103</v>
      </c>
      <c r="N382" s="18">
        <v>161</v>
      </c>
      <c r="O382" s="11">
        <v>31.1</v>
      </c>
      <c r="P382" s="11">
        <v>2.54</v>
      </c>
      <c r="Q382" s="11">
        <v>23.9</v>
      </c>
      <c r="R382" s="15">
        <v>47.9</v>
      </c>
      <c r="S382" s="18">
        <v>6.24</v>
      </c>
      <c r="T382" s="11">
        <v>3760</v>
      </c>
      <c r="U382" s="16"/>
      <c r="V382" s="9"/>
      <c r="W382" s="17"/>
    </row>
    <row r="383" spans="1:23" x14ac:dyDescent="0.25">
      <c r="A383" s="9" t="s">
        <v>38</v>
      </c>
      <c r="B383" s="14">
        <v>361</v>
      </c>
      <c r="C383" s="11">
        <v>378</v>
      </c>
      <c r="D383" s="11">
        <v>20.45</v>
      </c>
      <c r="E383" s="11">
        <v>286</v>
      </c>
      <c r="F383" s="11">
        <v>20.45</v>
      </c>
      <c r="G383" s="18">
        <v>221.9</v>
      </c>
      <c r="H383" s="15">
        <v>174.1</v>
      </c>
      <c r="I383" s="18">
        <v>50780</v>
      </c>
      <c r="J383" s="11">
        <v>2819</v>
      </c>
      <c r="K383" s="11">
        <v>15.14</v>
      </c>
      <c r="L383" s="11">
        <v>1590</v>
      </c>
      <c r="M383" s="15">
        <v>3179</v>
      </c>
      <c r="N383" s="18">
        <v>18439</v>
      </c>
      <c r="O383" s="11">
        <v>975</v>
      </c>
      <c r="P383" s="11">
        <v>9.1199999999999992</v>
      </c>
      <c r="Q383" s="11">
        <v>749</v>
      </c>
      <c r="R383" s="17">
        <v>1498</v>
      </c>
      <c r="S383" s="16">
        <v>334</v>
      </c>
      <c r="T383" s="9">
        <v>5343864</v>
      </c>
      <c r="U383" s="16"/>
      <c r="V383" s="9"/>
      <c r="W383" s="17"/>
    </row>
    <row r="384" spans="1:23" x14ac:dyDescent="0.25">
      <c r="A384" s="9" t="s">
        <v>38</v>
      </c>
      <c r="B384" s="14">
        <v>356</v>
      </c>
      <c r="C384" s="10">
        <v>376</v>
      </c>
      <c r="D384" s="11">
        <v>17.91</v>
      </c>
      <c r="E384" s="11">
        <v>286</v>
      </c>
      <c r="F384" s="11">
        <v>17.91</v>
      </c>
      <c r="G384" s="18">
        <v>193.5</v>
      </c>
      <c r="H384" s="15">
        <v>151.80000000000001</v>
      </c>
      <c r="I384" s="18">
        <v>43704</v>
      </c>
      <c r="J384" s="11">
        <v>2458</v>
      </c>
      <c r="K384" s="11">
        <v>15.04</v>
      </c>
      <c r="L384" s="11">
        <v>1385</v>
      </c>
      <c r="M384" s="15">
        <v>2769</v>
      </c>
      <c r="N384" s="18">
        <v>15817</v>
      </c>
      <c r="O384" s="11">
        <v>842</v>
      </c>
      <c r="P384" s="11">
        <v>9.0399999999999991</v>
      </c>
      <c r="Q384" s="11">
        <v>646</v>
      </c>
      <c r="R384" s="15">
        <v>1291</v>
      </c>
      <c r="S384" s="16">
        <v>225</v>
      </c>
      <c r="T384" s="9">
        <v>4511403</v>
      </c>
      <c r="U384" s="16"/>
      <c r="V384" s="9"/>
      <c r="W384" s="17"/>
    </row>
    <row r="385" spans="1:23" x14ac:dyDescent="0.25">
      <c r="A385" s="9" t="s">
        <v>38</v>
      </c>
      <c r="B385" s="14">
        <v>351</v>
      </c>
      <c r="C385" s="10">
        <v>373</v>
      </c>
      <c r="D385" s="11">
        <v>15.62</v>
      </c>
      <c r="E385" s="11">
        <v>286</v>
      </c>
      <c r="F385" s="11">
        <v>15.62</v>
      </c>
      <c r="G385" s="18">
        <v>168.4</v>
      </c>
      <c r="H385" s="15">
        <v>132.4</v>
      </c>
      <c r="I385" s="18">
        <v>37627</v>
      </c>
      <c r="J385" s="11">
        <v>2147</v>
      </c>
      <c r="K385" s="11">
        <v>14.94</v>
      </c>
      <c r="L385" s="11">
        <v>1196</v>
      </c>
      <c r="M385" s="15">
        <v>2393</v>
      </c>
      <c r="N385" s="18">
        <v>13569</v>
      </c>
      <c r="O385" s="11">
        <v>726</v>
      </c>
      <c r="P385" s="11">
        <v>8.9700000000000006</v>
      </c>
      <c r="Q385" s="11">
        <v>555</v>
      </c>
      <c r="R385" s="15">
        <v>1109</v>
      </c>
      <c r="S385" s="16">
        <v>150</v>
      </c>
      <c r="T385" s="9">
        <v>3813209</v>
      </c>
      <c r="U385" s="16"/>
      <c r="V385" s="9"/>
      <c r="W385" s="17"/>
    </row>
    <row r="386" spans="1:23" x14ac:dyDescent="0.25">
      <c r="A386" s="9" t="s">
        <v>38</v>
      </c>
      <c r="B386" s="14">
        <v>346</v>
      </c>
      <c r="C386" s="10">
        <v>370</v>
      </c>
      <c r="D386" s="11">
        <v>12.83</v>
      </c>
      <c r="E386" s="11">
        <v>286</v>
      </c>
      <c r="F386" s="11">
        <v>12.83</v>
      </c>
      <c r="G386" s="18">
        <v>138.1</v>
      </c>
      <c r="H386" s="15">
        <v>108.6</v>
      </c>
      <c r="I386" s="18">
        <v>30343</v>
      </c>
      <c r="J386" s="11">
        <v>1753</v>
      </c>
      <c r="K386" s="11">
        <v>14.83</v>
      </c>
      <c r="L386" s="11">
        <v>967</v>
      </c>
      <c r="M386" s="15">
        <v>1934</v>
      </c>
      <c r="N386" s="18">
        <v>10864</v>
      </c>
      <c r="O386" s="11">
        <v>587</v>
      </c>
      <c r="P386" s="11">
        <v>8.86</v>
      </c>
      <c r="Q386" s="11">
        <v>447</v>
      </c>
      <c r="R386" s="15">
        <v>895</v>
      </c>
      <c r="S386" s="16">
        <v>83.7</v>
      </c>
      <c r="T386" s="9">
        <v>3007602</v>
      </c>
      <c r="U386" s="16"/>
      <c r="V386" s="9"/>
      <c r="W386" s="17"/>
    </row>
    <row r="387" spans="1:23" x14ac:dyDescent="0.25">
      <c r="A387" s="9" t="s">
        <v>38</v>
      </c>
      <c r="B387" s="14">
        <v>312</v>
      </c>
      <c r="C387" s="11">
        <v>312</v>
      </c>
      <c r="D387" s="11">
        <v>17.399999999999999</v>
      </c>
      <c r="E387" s="11">
        <v>241</v>
      </c>
      <c r="F387" s="11">
        <v>17.399999999999999</v>
      </c>
      <c r="G387" s="18">
        <v>158.69999999999999</v>
      </c>
      <c r="H387" s="15">
        <v>125</v>
      </c>
      <c r="I387" s="18">
        <v>27055</v>
      </c>
      <c r="J387" s="11">
        <v>1737</v>
      </c>
      <c r="K387" s="11">
        <v>13.06</v>
      </c>
      <c r="L387" s="11">
        <v>983</v>
      </c>
      <c r="M387" s="15">
        <v>1966</v>
      </c>
      <c r="N387" s="18">
        <v>8866</v>
      </c>
      <c r="O387" s="11">
        <v>567</v>
      </c>
      <c r="P387" s="11">
        <v>7.47</v>
      </c>
      <c r="Q387" s="11">
        <v>436</v>
      </c>
      <c r="R387" s="17">
        <v>872</v>
      </c>
      <c r="S387" s="16">
        <v>176</v>
      </c>
      <c r="T387" s="9">
        <v>1922717</v>
      </c>
      <c r="U387" s="16"/>
      <c r="V387" s="9"/>
      <c r="W387" s="17"/>
    </row>
    <row r="388" spans="1:23" x14ac:dyDescent="0.25">
      <c r="A388" s="9" t="s">
        <v>38</v>
      </c>
      <c r="B388" s="14">
        <v>308</v>
      </c>
      <c r="C388" s="10">
        <v>310</v>
      </c>
      <c r="D388" s="11">
        <v>15.49</v>
      </c>
      <c r="E388" s="11">
        <v>241</v>
      </c>
      <c r="F388" s="11">
        <v>15.37</v>
      </c>
      <c r="G388" s="18">
        <v>140.6</v>
      </c>
      <c r="H388" s="15">
        <v>110.1</v>
      </c>
      <c r="I388" s="18">
        <v>23684</v>
      </c>
      <c r="J388" s="11">
        <v>1537</v>
      </c>
      <c r="K388" s="11">
        <v>12.98</v>
      </c>
      <c r="L388" s="11">
        <v>860</v>
      </c>
      <c r="M388" s="15">
        <v>1721</v>
      </c>
      <c r="N388" s="18">
        <v>7742</v>
      </c>
      <c r="O388" s="11">
        <v>498</v>
      </c>
      <c r="P388" s="11">
        <v>7.42</v>
      </c>
      <c r="Q388" s="11">
        <v>382</v>
      </c>
      <c r="R388" s="15">
        <v>764</v>
      </c>
      <c r="S388" s="16">
        <v>124</v>
      </c>
      <c r="T388" s="9">
        <v>1656866</v>
      </c>
      <c r="U388" s="16"/>
      <c r="V388" s="9"/>
      <c r="W388" s="17"/>
    </row>
    <row r="389" spans="1:23" x14ac:dyDescent="0.25">
      <c r="A389" s="9" t="s">
        <v>38</v>
      </c>
      <c r="B389" s="14">
        <v>303</v>
      </c>
      <c r="C389" s="10">
        <v>308</v>
      </c>
      <c r="D389" s="11">
        <v>13.08</v>
      </c>
      <c r="E389" s="11">
        <v>241</v>
      </c>
      <c r="F389" s="11">
        <v>13.08</v>
      </c>
      <c r="G389" s="18">
        <v>118.7</v>
      </c>
      <c r="H389" s="15">
        <v>93.8</v>
      </c>
      <c r="I389" s="18">
        <v>19646</v>
      </c>
      <c r="J389" s="11">
        <v>1296</v>
      </c>
      <c r="K389" s="11">
        <v>12.85</v>
      </c>
      <c r="L389" s="11">
        <v>723</v>
      </c>
      <c r="M389" s="15">
        <v>1447</v>
      </c>
      <c r="N389" s="18">
        <v>6368</v>
      </c>
      <c r="O389" s="11">
        <v>415</v>
      </c>
      <c r="P389" s="11">
        <v>7.32</v>
      </c>
      <c r="Q389" s="11">
        <v>317</v>
      </c>
      <c r="R389" s="15">
        <v>634</v>
      </c>
      <c r="S389" s="16">
        <v>76.2</v>
      </c>
      <c r="T389" s="9">
        <v>1339994</v>
      </c>
      <c r="U389" s="16"/>
      <c r="V389" s="9"/>
      <c r="W389" s="17"/>
    </row>
    <row r="390" spans="1:23" x14ac:dyDescent="0.25">
      <c r="A390" s="9" t="s">
        <v>38</v>
      </c>
      <c r="B390" s="14">
        <v>299</v>
      </c>
      <c r="C390" s="10">
        <v>306</v>
      </c>
      <c r="D390" s="11">
        <v>11.05</v>
      </c>
      <c r="E390" s="11">
        <v>241</v>
      </c>
      <c r="F390" s="11">
        <v>11.05</v>
      </c>
      <c r="G390" s="18">
        <v>100</v>
      </c>
      <c r="H390" s="15">
        <v>78.900000000000006</v>
      </c>
      <c r="I390" s="18">
        <v>16358</v>
      </c>
      <c r="J390" s="11">
        <v>1095</v>
      </c>
      <c r="K390" s="11">
        <v>12.78</v>
      </c>
      <c r="L390" s="11">
        <v>606</v>
      </c>
      <c r="M390" s="15">
        <v>1213</v>
      </c>
      <c r="N390" s="18">
        <v>5286</v>
      </c>
      <c r="O390" s="11">
        <v>346</v>
      </c>
      <c r="P390" s="11">
        <v>7.26</v>
      </c>
      <c r="Q390" s="11">
        <v>264</v>
      </c>
      <c r="R390" s="15">
        <v>528</v>
      </c>
      <c r="S390" s="16">
        <v>46.6</v>
      </c>
      <c r="T390" s="9">
        <v>1098312</v>
      </c>
      <c r="U390" s="16"/>
      <c r="V390" s="9"/>
      <c r="W390" s="17"/>
    </row>
    <row r="391" spans="1:23" x14ac:dyDescent="0.25">
      <c r="A391" s="9" t="s">
        <v>38</v>
      </c>
      <c r="B391" s="14">
        <v>254</v>
      </c>
      <c r="C391" s="11">
        <v>260</v>
      </c>
      <c r="D391" s="11">
        <v>14.35</v>
      </c>
      <c r="E391" s="11">
        <v>194</v>
      </c>
      <c r="F391" s="11">
        <v>14.35</v>
      </c>
      <c r="G391" s="18">
        <v>108.4</v>
      </c>
      <c r="H391" s="15">
        <v>84.8</v>
      </c>
      <c r="I391" s="18">
        <v>12237</v>
      </c>
      <c r="J391" s="11">
        <v>964</v>
      </c>
      <c r="K391" s="11">
        <v>10.62</v>
      </c>
      <c r="L391" s="11">
        <v>545</v>
      </c>
      <c r="M391" s="15">
        <v>1090</v>
      </c>
      <c r="N391" s="18">
        <v>4204</v>
      </c>
      <c r="O391" s="11">
        <v>323</v>
      </c>
      <c r="P391" s="11">
        <v>6.22</v>
      </c>
      <c r="Q391" s="11">
        <v>248</v>
      </c>
      <c r="R391" s="17">
        <v>497</v>
      </c>
      <c r="S391" s="16">
        <v>82</v>
      </c>
      <c r="T391" s="9">
        <v>601520</v>
      </c>
      <c r="U391" s="16"/>
      <c r="V391" s="9"/>
      <c r="W391" s="17"/>
    </row>
    <row r="392" spans="1:23" x14ac:dyDescent="0.25">
      <c r="A392" s="9" t="s">
        <v>38</v>
      </c>
      <c r="B392" s="14">
        <v>246</v>
      </c>
      <c r="C392" s="10">
        <v>256</v>
      </c>
      <c r="D392" s="11">
        <v>10.67</v>
      </c>
      <c r="E392" s="11">
        <v>194</v>
      </c>
      <c r="F392" s="11">
        <v>10.54</v>
      </c>
      <c r="G392" s="18">
        <v>80</v>
      </c>
      <c r="H392" s="15">
        <v>62.5</v>
      </c>
      <c r="I392" s="18">
        <v>8741</v>
      </c>
      <c r="J392" s="11">
        <v>711</v>
      </c>
      <c r="K392" s="11">
        <v>10.49</v>
      </c>
      <c r="L392" s="11">
        <v>396</v>
      </c>
      <c r="M392" s="15">
        <v>791</v>
      </c>
      <c r="N392" s="18">
        <v>2984</v>
      </c>
      <c r="O392" s="11">
        <v>233</v>
      </c>
      <c r="P392" s="11">
        <v>6.12</v>
      </c>
      <c r="Q392" s="11">
        <v>179</v>
      </c>
      <c r="R392" s="15">
        <v>357</v>
      </c>
      <c r="S392" s="16">
        <v>33.700000000000003</v>
      </c>
      <c r="T392" s="9">
        <v>413545</v>
      </c>
      <c r="U392" s="16"/>
      <c r="V392" s="9"/>
      <c r="W392" s="17"/>
    </row>
    <row r="393" spans="1:23" x14ac:dyDescent="0.25">
      <c r="A393" s="9" t="s">
        <v>38</v>
      </c>
      <c r="B393" s="14">
        <v>204</v>
      </c>
      <c r="C393" s="11">
        <v>207</v>
      </c>
      <c r="D393" s="11">
        <v>11.3</v>
      </c>
      <c r="E393" s="11">
        <v>156</v>
      </c>
      <c r="F393" s="11">
        <v>11.3</v>
      </c>
      <c r="G393" s="18">
        <v>68.39</v>
      </c>
      <c r="H393" s="15">
        <v>53.6</v>
      </c>
      <c r="I393" s="18">
        <v>4953</v>
      </c>
      <c r="J393" s="11">
        <v>488</v>
      </c>
      <c r="K393" s="11">
        <v>8.5299999999999994</v>
      </c>
      <c r="L393" s="11">
        <v>275</v>
      </c>
      <c r="M393" s="15">
        <v>551</v>
      </c>
      <c r="N393" s="18">
        <v>1677</v>
      </c>
      <c r="O393" s="11">
        <v>162</v>
      </c>
      <c r="P393" s="11">
        <v>4.95</v>
      </c>
      <c r="Q393" s="11">
        <v>125</v>
      </c>
      <c r="R393" s="17">
        <v>249</v>
      </c>
      <c r="S393" s="16">
        <v>32</v>
      </c>
      <c r="T393" s="9">
        <v>155214</v>
      </c>
      <c r="U393" s="16"/>
      <c r="V393" s="9"/>
      <c r="W393" s="17"/>
    </row>
    <row r="394" spans="1:23" x14ac:dyDescent="0.25">
      <c r="A394" s="9" t="s">
        <v>39</v>
      </c>
      <c r="B394" s="18">
        <v>303</v>
      </c>
      <c r="C394" s="11">
        <v>78</v>
      </c>
      <c r="D394" s="11">
        <v>5.72</v>
      </c>
      <c r="E394" s="11">
        <v>278</v>
      </c>
      <c r="F394" s="11">
        <v>4.5</v>
      </c>
      <c r="G394" s="18">
        <v>22.45</v>
      </c>
      <c r="H394" s="15">
        <v>17.600000000000001</v>
      </c>
      <c r="I394" s="18">
        <v>2984</v>
      </c>
      <c r="J394" s="11">
        <v>198</v>
      </c>
      <c r="K394" s="11">
        <v>11.53</v>
      </c>
      <c r="L394" s="11">
        <v>117</v>
      </c>
      <c r="M394" s="15">
        <v>234</v>
      </c>
      <c r="N394" s="18">
        <v>45.4</v>
      </c>
      <c r="O394" s="11">
        <v>11.6</v>
      </c>
      <c r="P394" s="9">
        <v>1.42</v>
      </c>
      <c r="Q394" s="9">
        <v>9.5</v>
      </c>
      <c r="R394" s="17">
        <v>19</v>
      </c>
      <c r="S394" s="16">
        <v>2.081</v>
      </c>
      <c r="T394" s="9">
        <v>9130</v>
      </c>
      <c r="U394" s="16"/>
      <c r="V394" s="9"/>
      <c r="W394" s="17"/>
    </row>
    <row r="395" spans="1:23" x14ac:dyDescent="0.25">
      <c r="A395" s="9" t="s">
        <v>39</v>
      </c>
      <c r="B395" s="18">
        <v>301</v>
      </c>
      <c r="C395" s="11">
        <v>78</v>
      </c>
      <c r="D395" s="11">
        <v>5.23</v>
      </c>
      <c r="E395" s="11">
        <v>276</v>
      </c>
      <c r="F395" s="11">
        <v>4.1100000000000003</v>
      </c>
      <c r="G395" s="18">
        <v>20.65</v>
      </c>
      <c r="H395" s="15">
        <v>16.100000000000001</v>
      </c>
      <c r="I395" s="18">
        <v>2739</v>
      </c>
      <c r="J395" s="11">
        <v>182</v>
      </c>
      <c r="K395" s="11">
        <v>11.53</v>
      </c>
      <c r="L395" s="11">
        <v>107</v>
      </c>
      <c r="M395" s="15">
        <v>215</v>
      </c>
      <c r="N395" s="18">
        <v>41.4</v>
      </c>
      <c r="O395" s="11">
        <v>10.6</v>
      </c>
      <c r="P395" s="11">
        <v>1.42</v>
      </c>
      <c r="Q395" s="9">
        <v>8.6</v>
      </c>
      <c r="R395" s="17">
        <v>17.2</v>
      </c>
      <c r="S395" s="16">
        <v>1.665</v>
      </c>
      <c r="T395" s="9">
        <v>8405</v>
      </c>
      <c r="U395" s="16"/>
      <c r="V395" s="9"/>
      <c r="W395" s="17"/>
    </row>
    <row r="396" spans="1:23" x14ac:dyDescent="0.25">
      <c r="A396" s="9" t="s">
        <v>39</v>
      </c>
      <c r="B396" s="14">
        <v>250</v>
      </c>
      <c r="C396" s="11">
        <v>68</v>
      </c>
      <c r="D396" s="11">
        <v>5.23</v>
      </c>
      <c r="E396" s="11">
        <v>225</v>
      </c>
      <c r="F396" s="11">
        <v>3.99</v>
      </c>
      <c r="G396" s="18">
        <v>17.23</v>
      </c>
      <c r="H396" s="15">
        <v>13.4</v>
      </c>
      <c r="I396" s="18">
        <v>1602</v>
      </c>
      <c r="J396" s="11">
        <v>128</v>
      </c>
      <c r="K396" s="11">
        <v>9.65</v>
      </c>
      <c r="L396" s="11">
        <v>75.5</v>
      </c>
      <c r="M396" s="15">
        <v>151</v>
      </c>
      <c r="N396" s="18">
        <v>28</v>
      </c>
      <c r="O396" s="11">
        <v>8.2100000000000009</v>
      </c>
      <c r="P396" s="11">
        <v>1.28</v>
      </c>
      <c r="Q396" s="11">
        <v>6.68</v>
      </c>
      <c r="R396" s="17">
        <v>13.4</v>
      </c>
      <c r="S396" s="16">
        <v>1.2490000000000001</v>
      </c>
      <c r="T396" s="9">
        <v>3921</v>
      </c>
      <c r="U396" s="16"/>
      <c r="V396" s="9"/>
      <c r="W396" s="17"/>
    </row>
    <row r="397" spans="1:23" x14ac:dyDescent="0.25">
      <c r="A397" s="9" t="s">
        <v>39</v>
      </c>
      <c r="B397" s="14">
        <v>249</v>
      </c>
      <c r="C397" s="11">
        <v>68</v>
      </c>
      <c r="D397" s="11">
        <v>4.6500000000000004</v>
      </c>
      <c r="E397" s="11">
        <v>224</v>
      </c>
      <c r="F397" s="11">
        <v>3.53</v>
      </c>
      <c r="G397" s="18">
        <v>15.35</v>
      </c>
      <c r="H397" s="15">
        <v>11.9</v>
      </c>
      <c r="I397" s="18">
        <v>1428</v>
      </c>
      <c r="J397" s="11">
        <v>115</v>
      </c>
      <c r="K397" s="11">
        <v>9.65</v>
      </c>
      <c r="L397" s="11">
        <v>67.2</v>
      </c>
      <c r="M397" s="15">
        <v>134</v>
      </c>
      <c r="N397" s="18">
        <v>24.8</v>
      </c>
      <c r="O397" s="11">
        <v>7.28</v>
      </c>
      <c r="P397" s="11">
        <v>1.28</v>
      </c>
      <c r="Q397" s="11">
        <v>5.88</v>
      </c>
      <c r="R397" s="17">
        <v>11.8</v>
      </c>
      <c r="S397" s="16">
        <v>0.83199999999999996</v>
      </c>
      <c r="T397" s="9">
        <v>3437</v>
      </c>
      <c r="U397" s="16"/>
      <c r="V397" s="9"/>
      <c r="W397" s="17"/>
    </row>
    <row r="398" spans="1:23" x14ac:dyDescent="0.25">
      <c r="A398" s="9" t="s">
        <v>39</v>
      </c>
      <c r="B398" s="18">
        <v>199</v>
      </c>
      <c r="C398" s="11">
        <v>58</v>
      </c>
      <c r="D398" s="11">
        <v>4.72</v>
      </c>
      <c r="E398" s="11">
        <v>175</v>
      </c>
      <c r="F398" s="11">
        <v>3.38</v>
      </c>
      <c r="G398" s="18">
        <v>12.39</v>
      </c>
      <c r="H398" s="15">
        <v>9.67</v>
      </c>
      <c r="I398" s="18">
        <v>753</v>
      </c>
      <c r="J398" s="11">
        <v>75.7</v>
      </c>
      <c r="K398" s="11">
        <v>7.8</v>
      </c>
      <c r="L398" s="11">
        <v>44.2</v>
      </c>
      <c r="M398" s="15">
        <v>88.5</v>
      </c>
      <c r="N398" s="18">
        <v>15.4</v>
      </c>
      <c r="O398" s="11">
        <v>5.33</v>
      </c>
      <c r="P398" s="11">
        <v>1.1200000000000001</v>
      </c>
      <c r="Q398" s="11">
        <v>4.32</v>
      </c>
      <c r="R398" s="17">
        <v>8.64</v>
      </c>
      <c r="S398" s="16">
        <v>0.83199999999999996</v>
      </c>
      <c r="T398" s="9">
        <v>1404</v>
      </c>
      <c r="U398" s="16"/>
      <c r="V398" s="9"/>
      <c r="W398" s="17"/>
    </row>
    <row r="399" spans="1:23" x14ac:dyDescent="0.25">
      <c r="A399" s="9" t="s">
        <v>39</v>
      </c>
      <c r="B399" s="14">
        <v>127</v>
      </c>
      <c r="C399" s="11">
        <v>127</v>
      </c>
      <c r="D399" s="11">
        <v>10.6</v>
      </c>
      <c r="E399" s="11">
        <v>82.55</v>
      </c>
      <c r="F399" s="11">
        <v>8.0299999999999994</v>
      </c>
      <c r="G399" s="18">
        <v>35.81</v>
      </c>
      <c r="H399" s="15">
        <v>28.1</v>
      </c>
      <c r="I399" s="18">
        <v>1003</v>
      </c>
      <c r="J399" s="11">
        <v>158</v>
      </c>
      <c r="K399" s="11">
        <v>5.28</v>
      </c>
      <c r="L399" s="11">
        <v>90.1</v>
      </c>
      <c r="M399" s="15">
        <v>180</v>
      </c>
      <c r="N399" s="18">
        <v>327</v>
      </c>
      <c r="O399" s="11">
        <v>51.5</v>
      </c>
      <c r="P399" s="11">
        <v>3.02</v>
      </c>
      <c r="Q399" s="11">
        <v>41.1</v>
      </c>
      <c r="R399" s="17">
        <v>82.3</v>
      </c>
      <c r="S399" s="16">
        <v>14.15</v>
      </c>
      <c r="T399" s="9">
        <v>11091</v>
      </c>
      <c r="U399" s="16"/>
      <c r="V399" s="9"/>
      <c r="W399" s="17"/>
    </row>
    <row r="400" spans="1:23" x14ac:dyDescent="0.25">
      <c r="A400" s="9" t="s">
        <v>74</v>
      </c>
      <c r="B400" s="16">
        <v>30</v>
      </c>
      <c r="C400" s="9">
        <v>15</v>
      </c>
      <c r="D400" s="9">
        <v>4.5</v>
      </c>
      <c r="E400" s="9">
        <v>12</v>
      </c>
      <c r="F400" s="11">
        <v>4</v>
      </c>
      <c r="G400" s="16">
        <v>2.21</v>
      </c>
      <c r="H400" s="17">
        <v>1.74</v>
      </c>
      <c r="I400" s="16">
        <v>2.5299999999999998</v>
      </c>
      <c r="J400" s="9">
        <v>1.69</v>
      </c>
      <c r="K400" s="9">
        <v>1.07</v>
      </c>
      <c r="L400" s="9" t="s">
        <v>33</v>
      </c>
      <c r="M400" s="17" t="s">
        <v>33</v>
      </c>
      <c r="N400" s="16">
        <v>0.38</v>
      </c>
      <c r="O400" s="9">
        <v>0.39</v>
      </c>
      <c r="P400" s="9">
        <v>0.42</v>
      </c>
      <c r="Q400" s="9" t="s">
        <v>33</v>
      </c>
      <c r="R400" s="17" t="s">
        <v>33</v>
      </c>
      <c r="S400" s="16">
        <v>0.14000000000000001</v>
      </c>
      <c r="T400" s="9" t="s">
        <v>33</v>
      </c>
      <c r="U400" s="16"/>
      <c r="V400" s="9"/>
      <c r="W400" s="17"/>
    </row>
    <row r="401" spans="1:23" x14ac:dyDescent="0.25">
      <c r="A401" s="9" t="s">
        <v>74</v>
      </c>
      <c r="B401" s="16">
        <v>30</v>
      </c>
      <c r="C401" s="9">
        <v>33</v>
      </c>
      <c r="D401" s="9">
        <v>7</v>
      </c>
      <c r="E401" s="9">
        <v>1</v>
      </c>
      <c r="F401" s="9">
        <v>5</v>
      </c>
      <c r="G401" s="16">
        <v>5.44</v>
      </c>
      <c r="H401" s="17">
        <v>4.2699999999999996</v>
      </c>
      <c r="I401" s="16">
        <v>6.39</v>
      </c>
      <c r="J401" s="9">
        <v>4.26</v>
      </c>
      <c r="K401" s="9">
        <v>1.08</v>
      </c>
      <c r="L401" s="9" t="s">
        <v>33</v>
      </c>
      <c r="M401" s="17" t="s">
        <v>33</v>
      </c>
      <c r="N401" s="16">
        <v>5.33</v>
      </c>
      <c r="O401" s="9">
        <v>2.68</v>
      </c>
      <c r="P401" s="9">
        <v>0.99</v>
      </c>
      <c r="Q401" s="9" t="s">
        <v>33</v>
      </c>
      <c r="R401" s="17" t="s">
        <v>33</v>
      </c>
      <c r="S401" s="16">
        <v>0.82</v>
      </c>
      <c r="T401" s="9" t="s">
        <v>33</v>
      </c>
      <c r="U401" s="16"/>
      <c r="V401" s="9"/>
      <c r="W401" s="17"/>
    </row>
    <row r="402" spans="1:23" x14ac:dyDescent="0.25">
      <c r="A402" s="9" t="s">
        <v>74</v>
      </c>
      <c r="B402" s="16">
        <v>40</v>
      </c>
      <c r="C402" s="9">
        <v>20</v>
      </c>
      <c r="D402" s="9">
        <v>5.5</v>
      </c>
      <c r="E402" s="9">
        <v>18</v>
      </c>
      <c r="F402" s="9">
        <v>5</v>
      </c>
      <c r="G402" s="16">
        <v>3.66</v>
      </c>
      <c r="H402" s="17">
        <v>2.87</v>
      </c>
      <c r="I402" s="16">
        <v>7.58</v>
      </c>
      <c r="J402" s="9">
        <v>3.79</v>
      </c>
      <c r="K402" s="9">
        <v>1.44</v>
      </c>
      <c r="L402" s="9" t="s">
        <v>33</v>
      </c>
      <c r="M402" s="17" t="s">
        <v>33</v>
      </c>
      <c r="N402" s="16">
        <v>1.1399999999999999</v>
      </c>
      <c r="O402" s="9">
        <v>0.86</v>
      </c>
      <c r="P402" s="9">
        <v>0.56000000000000005</v>
      </c>
      <c r="Q402" s="9" t="s">
        <v>33</v>
      </c>
      <c r="R402" s="17" t="s">
        <v>33</v>
      </c>
      <c r="S402" s="16">
        <v>0.34</v>
      </c>
      <c r="T402" s="9" t="s">
        <v>33</v>
      </c>
      <c r="U402" s="16"/>
      <c r="V402" s="9"/>
      <c r="W402" s="17"/>
    </row>
    <row r="403" spans="1:23" x14ac:dyDescent="0.25">
      <c r="A403" s="9" t="s">
        <v>74</v>
      </c>
      <c r="B403" s="16">
        <v>40</v>
      </c>
      <c r="C403" s="9">
        <v>35</v>
      </c>
      <c r="D403" s="9">
        <v>7</v>
      </c>
      <c r="E403" s="9">
        <v>11</v>
      </c>
      <c r="F403" s="9">
        <v>5</v>
      </c>
      <c r="G403" s="16">
        <v>6.21</v>
      </c>
      <c r="H403" s="17">
        <v>4.87</v>
      </c>
      <c r="I403" s="16">
        <v>14.1</v>
      </c>
      <c r="J403" s="9">
        <v>7.05</v>
      </c>
      <c r="K403" s="9">
        <v>1.5</v>
      </c>
      <c r="L403" s="9" t="s">
        <v>33</v>
      </c>
      <c r="M403" s="17" t="s">
        <v>33</v>
      </c>
      <c r="N403" s="16">
        <v>6.68</v>
      </c>
      <c r="O403" s="9">
        <v>3.08</v>
      </c>
      <c r="P403" s="9">
        <v>1.04</v>
      </c>
      <c r="Q403" s="9" t="s">
        <v>33</v>
      </c>
      <c r="R403" s="17" t="s">
        <v>33</v>
      </c>
      <c r="S403" s="16">
        <v>0.91</v>
      </c>
      <c r="T403" s="9" t="s">
        <v>33</v>
      </c>
      <c r="U403" s="16"/>
      <c r="V403" s="9"/>
      <c r="W403" s="17"/>
    </row>
    <row r="404" spans="1:23" x14ac:dyDescent="0.25">
      <c r="A404" s="9" t="s">
        <v>74</v>
      </c>
      <c r="B404" s="16">
        <v>50</v>
      </c>
      <c r="C404" s="9">
        <v>25</v>
      </c>
      <c r="D404" s="9">
        <v>6</v>
      </c>
      <c r="E404" s="9">
        <v>25</v>
      </c>
      <c r="F404" s="9">
        <v>5</v>
      </c>
      <c r="G404" s="16">
        <v>4.92</v>
      </c>
      <c r="H404" s="17">
        <v>3.86</v>
      </c>
      <c r="I404" s="16">
        <v>16.8</v>
      </c>
      <c r="J404" s="9">
        <v>6.73</v>
      </c>
      <c r="K404" s="9">
        <v>1.85</v>
      </c>
      <c r="L404" s="9" t="s">
        <v>33</v>
      </c>
      <c r="M404" s="17" t="s">
        <v>33</v>
      </c>
      <c r="N404" s="16">
        <v>2.4900000000000002</v>
      </c>
      <c r="O404" s="9">
        <v>1.48</v>
      </c>
      <c r="P404" s="9">
        <v>0.71</v>
      </c>
      <c r="Q404" s="9" t="s">
        <v>33</v>
      </c>
      <c r="R404" s="17" t="s">
        <v>33</v>
      </c>
      <c r="S404" s="16">
        <v>0.52</v>
      </c>
      <c r="T404" s="9" t="s">
        <v>33</v>
      </c>
      <c r="U404" s="16"/>
      <c r="V404" s="9"/>
      <c r="W404" s="17"/>
    </row>
    <row r="405" spans="1:23" x14ac:dyDescent="0.25">
      <c r="A405" s="9" t="s">
        <v>74</v>
      </c>
      <c r="B405" s="16">
        <v>50</v>
      </c>
      <c r="C405" s="9">
        <v>38</v>
      </c>
      <c r="D405" s="9">
        <v>7</v>
      </c>
      <c r="E405" s="9">
        <v>20</v>
      </c>
      <c r="F405" s="9">
        <v>5</v>
      </c>
      <c r="G405" s="16">
        <v>7.12</v>
      </c>
      <c r="H405" s="17">
        <v>5.59</v>
      </c>
      <c r="I405" s="16">
        <v>26.4</v>
      </c>
      <c r="J405" s="9">
        <v>10.6</v>
      </c>
      <c r="K405" s="9">
        <v>1.92</v>
      </c>
      <c r="L405" s="9" t="s">
        <v>33</v>
      </c>
      <c r="M405" s="17" t="s">
        <v>33</v>
      </c>
      <c r="N405" s="16">
        <v>3.12</v>
      </c>
      <c r="O405" s="9">
        <v>3.75</v>
      </c>
      <c r="P405" s="9">
        <v>1.1299999999999999</v>
      </c>
      <c r="Q405" s="9" t="s">
        <v>33</v>
      </c>
      <c r="R405" s="17" t="s">
        <v>33</v>
      </c>
      <c r="S405" s="16">
        <v>1.02</v>
      </c>
      <c r="T405" s="9" t="s">
        <v>33</v>
      </c>
      <c r="U405" s="16"/>
      <c r="V405" s="9"/>
      <c r="W405" s="17"/>
    </row>
    <row r="406" spans="1:23" x14ac:dyDescent="0.25">
      <c r="A406" s="9" t="s">
        <v>74</v>
      </c>
      <c r="B406" s="16">
        <v>60</v>
      </c>
      <c r="C406" s="9">
        <v>30</v>
      </c>
      <c r="D406" s="9">
        <v>6</v>
      </c>
      <c r="E406" s="9">
        <v>35</v>
      </c>
      <c r="F406" s="9">
        <v>6</v>
      </c>
      <c r="G406" s="16">
        <v>6.46</v>
      </c>
      <c r="H406" s="17">
        <v>5.07</v>
      </c>
      <c r="I406" s="16">
        <v>31.6</v>
      </c>
      <c r="J406" s="9">
        <v>10.5</v>
      </c>
      <c r="K406" s="9">
        <v>2.21</v>
      </c>
      <c r="L406" s="9" t="s">
        <v>33</v>
      </c>
      <c r="M406" s="17" t="s">
        <v>33</v>
      </c>
      <c r="N406" s="16">
        <v>4.51</v>
      </c>
      <c r="O406" s="9">
        <v>2.16</v>
      </c>
      <c r="P406" s="9">
        <v>0.84</v>
      </c>
      <c r="Q406" s="9" t="s">
        <v>33</v>
      </c>
      <c r="R406" s="17" t="s">
        <v>33</v>
      </c>
      <c r="S406" s="16">
        <v>0.78</v>
      </c>
      <c r="T406" s="9" t="s">
        <v>33</v>
      </c>
      <c r="U406" s="16"/>
      <c r="V406" s="9"/>
      <c r="W406" s="17"/>
    </row>
    <row r="407" spans="1:23" x14ac:dyDescent="0.25">
      <c r="A407" s="9" t="s">
        <v>74</v>
      </c>
      <c r="B407" s="16">
        <v>65</v>
      </c>
      <c r="C407" s="9">
        <v>42</v>
      </c>
      <c r="D407" s="9">
        <v>7.5</v>
      </c>
      <c r="E407" s="9">
        <v>33</v>
      </c>
      <c r="F407" s="9">
        <v>5.5</v>
      </c>
      <c r="G407" s="16">
        <v>9.0299999999999994</v>
      </c>
      <c r="H407" s="17">
        <v>7.09</v>
      </c>
      <c r="I407" s="16">
        <v>57.5</v>
      </c>
      <c r="J407" s="9">
        <v>17.7</v>
      </c>
      <c r="K407" s="9">
        <v>2.52</v>
      </c>
      <c r="L407" s="9" t="s">
        <v>33</v>
      </c>
      <c r="M407" s="17" t="s">
        <v>33</v>
      </c>
      <c r="N407" s="16">
        <v>14.1</v>
      </c>
      <c r="O407" s="9">
        <v>5.07</v>
      </c>
      <c r="P407" s="9">
        <v>1.25</v>
      </c>
      <c r="Q407" s="9" t="s">
        <v>33</v>
      </c>
      <c r="R407" s="17" t="s">
        <v>33</v>
      </c>
      <c r="S407" s="16">
        <v>1.46</v>
      </c>
      <c r="T407" s="9" t="s">
        <v>33</v>
      </c>
      <c r="U407" s="16"/>
      <c r="V407" s="9"/>
      <c r="W407" s="17"/>
    </row>
    <row r="408" spans="1:23" x14ac:dyDescent="0.25">
      <c r="A408" s="9" t="s">
        <v>74</v>
      </c>
      <c r="B408" s="16">
        <v>80</v>
      </c>
      <c r="C408" s="9">
        <v>45</v>
      </c>
      <c r="D408" s="9">
        <v>8</v>
      </c>
      <c r="E408" s="9">
        <v>46</v>
      </c>
      <c r="F408" s="9">
        <v>6</v>
      </c>
      <c r="G408" s="16">
        <v>11</v>
      </c>
      <c r="H408" s="17">
        <v>8.64</v>
      </c>
      <c r="I408" s="16">
        <v>106</v>
      </c>
      <c r="J408" s="9">
        <v>26.5</v>
      </c>
      <c r="K408" s="9">
        <v>3.1</v>
      </c>
      <c r="L408" s="9">
        <v>15.9</v>
      </c>
      <c r="M408" s="17">
        <v>31.8</v>
      </c>
      <c r="N408" s="16">
        <v>19.399999999999999</v>
      </c>
      <c r="O408" s="9">
        <v>6.36</v>
      </c>
      <c r="P408" s="9">
        <v>1.33</v>
      </c>
      <c r="Q408" s="9">
        <v>6.35</v>
      </c>
      <c r="R408" s="17">
        <v>12.08</v>
      </c>
      <c r="S408" s="16">
        <v>2</v>
      </c>
      <c r="T408" s="9">
        <v>196.54</v>
      </c>
      <c r="U408" s="16"/>
      <c r="V408" s="9"/>
      <c r="W408" s="17"/>
    </row>
    <row r="409" spans="1:23" x14ac:dyDescent="0.25">
      <c r="A409" s="9" t="s">
        <v>74</v>
      </c>
      <c r="B409" s="16">
        <v>100</v>
      </c>
      <c r="C409" s="9">
        <v>50</v>
      </c>
      <c r="D409" s="9">
        <v>8.5</v>
      </c>
      <c r="E409" s="9">
        <v>64</v>
      </c>
      <c r="F409" s="9">
        <v>6</v>
      </c>
      <c r="G409" s="16">
        <v>13.5</v>
      </c>
      <c r="H409" s="17">
        <v>10.6</v>
      </c>
      <c r="I409" s="16">
        <v>206</v>
      </c>
      <c r="J409" s="9">
        <v>41.2</v>
      </c>
      <c r="K409" s="9">
        <v>3.91</v>
      </c>
      <c r="L409" s="9">
        <v>24.5</v>
      </c>
      <c r="M409" s="17">
        <v>49</v>
      </c>
      <c r="N409" s="16">
        <v>29.3</v>
      </c>
      <c r="O409" s="9">
        <v>8.49</v>
      </c>
      <c r="P409" s="9">
        <v>1.47</v>
      </c>
      <c r="Q409" s="9">
        <v>8.59</v>
      </c>
      <c r="R409" s="17">
        <v>16.21</v>
      </c>
      <c r="S409" s="16">
        <v>2.64</v>
      </c>
      <c r="T409" s="9">
        <v>481.65</v>
      </c>
      <c r="U409" s="16"/>
      <c r="V409" s="9"/>
      <c r="W409" s="17"/>
    </row>
    <row r="410" spans="1:23" x14ac:dyDescent="0.25">
      <c r="A410" s="9" t="s">
        <v>74</v>
      </c>
      <c r="B410" s="16">
        <v>120</v>
      </c>
      <c r="C410" s="9">
        <v>55</v>
      </c>
      <c r="D410" s="9">
        <v>9</v>
      </c>
      <c r="E410" s="9">
        <v>82</v>
      </c>
      <c r="F410" s="9">
        <v>7</v>
      </c>
      <c r="G410" s="16">
        <v>17</v>
      </c>
      <c r="H410" s="17">
        <v>13.4</v>
      </c>
      <c r="I410" s="16">
        <v>364</v>
      </c>
      <c r="J410" s="9">
        <v>60.7</v>
      </c>
      <c r="K410" s="9">
        <v>4.62</v>
      </c>
      <c r="L410" s="9">
        <v>36.299999999999997</v>
      </c>
      <c r="M410" s="17">
        <v>72.599999999999994</v>
      </c>
      <c r="N410" s="16">
        <v>43.2</v>
      </c>
      <c r="O410" s="9">
        <v>11.1</v>
      </c>
      <c r="P410" s="9">
        <v>1.59</v>
      </c>
      <c r="Q410" s="9">
        <v>11.61</v>
      </c>
      <c r="R410" s="17">
        <v>21.27</v>
      </c>
      <c r="S410" s="16">
        <v>3.84</v>
      </c>
      <c r="T410" s="9">
        <v>1039.2</v>
      </c>
      <c r="U410" s="16"/>
      <c r="V410" s="9"/>
      <c r="W410" s="17"/>
    </row>
    <row r="411" spans="1:23" x14ac:dyDescent="0.25">
      <c r="A411" s="9" t="s">
        <v>74</v>
      </c>
      <c r="B411" s="16">
        <v>140</v>
      </c>
      <c r="C411" s="9">
        <v>60</v>
      </c>
      <c r="D411" s="9">
        <v>10</v>
      </c>
      <c r="E411" s="9">
        <v>98</v>
      </c>
      <c r="F411" s="9">
        <v>7</v>
      </c>
      <c r="G411" s="16">
        <v>20.399999999999999</v>
      </c>
      <c r="H411" s="17">
        <v>16</v>
      </c>
      <c r="I411" s="16">
        <v>605</v>
      </c>
      <c r="J411" s="9">
        <v>86.4</v>
      </c>
      <c r="K411" s="9">
        <v>5.45</v>
      </c>
      <c r="L411" s="9">
        <v>51.4</v>
      </c>
      <c r="M411" s="17">
        <v>103</v>
      </c>
      <c r="N411" s="16">
        <v>62.7</v>
      </c>
      <c r="O411" s="9">
        <v>14.8</v>
      </c>
      <c r="P411" s="9">
        <v>1.75</v>
      </c>
      <c r="Q411" s="9">
        <v>15.36</v>
      </c>
      <c r="R411" s="17">
        <v>28.32</v>
      </c>
      <c r="S411" s="16">
        <v>5.37</v>
      </c>
      <c r="T411" s="9">
        <v>2073.5</v>
      </c>
      <c r="U411" s="16"/>
      <c r="V411" s="9"/>
      <c r="W411" s="17"/>
    </row>
    <row r="412" spans="1:23" x14ac:dyDescent="0.25">
      <c r="A412" s="9" t="s">
        <v>74</v>
      </c>
      <c r="B412" s="16">
        <v>160</v>
      </c>
      <c r="C412" s="9">
        <v>65</v>
      </c>
      <c r="D412" s="9">
        <v>10.5</v>
      </c>
      <c r="E412" s="9">
        <v>115</v>
      </c>
      <c r="F412" s="9">
        <v>7.5</v>
      </c>
      <c r="G412" s="16">
        <v>24</v>
      </c>
      <c r="H412" s="17">
        <v>18.8</v>
      </c>
      <c r="I412" s="16">
        <v>925</v>
      </c>
      <c r="J412" s="9">
        <v>116</v>
      </c>
      <c r="K412" s="9">
        <v>6.21</v>
      </c>
      <c r="L412" s="9">
        <v>68.8</v>
      </c>
      <c r="M412" s="17">
        <v>138</v>
      </c>
      <c r="N412" s="16">
        <v>85.3</v>
      </c>
      <c r="O412" s="9">
        <v>18.3</v>
      </c>
      <c r="P412" s="9">
        <v>1.89</v>
      </c>
      <c r="Q412" s="9">
        <v>19.37</v>
      </c>
      <c r="R412" s="17">
        <v>35.200000000000003</v>
      </c>
      <c r="S412" s="16">
        <v>6.97</v>
      </c>
      <c r="T412" s="9">
        <v>3750.3</v>
      </c>
      <c r="U412" s="16"/>
      <c r="V412" s="9"/>
      <c r="W412" s="17"/>
    </row>
    <row r="413" spans="1:23" x14ac:dyDescent="0.25">
      <c r="A413" s="9" t="s">
        <v>74</v>
      </c>
      <c r="B413" s="16">
        <v>180</v>
      </c>
      <c r="C413" s="9">
        <v>70</v>
      </c>
      <c r="D413" s="9">
        <v>11</v>
      </c>
      <c r="E413" s="9">
        <v>133</v>
      </c>
      <c r="F413" s="9">
        <v>8</v>
      </c>
      <c r="G413" s="16">
        <v>28</v>
      </c>
      <c r="H413" s="17">
        <v>22</v>
      </c>
      <c r="I413" s="16">
        <v>1350</v>
      </c>
      <c r="J413" s="9">
        <v>150</v>
      </c>
      <c r="K413" s="9">
        <v>6.95</v>
      </c>
      <c r="L413" s="9">
        <v>89.6</v>
      </c>
      <c r="M413" s="17">
        <v>179</v>
      </c>
      <c r="N413" s="16">
        <v>114</v>
      </c>
      <c r="O413" s="9">
        <v>22.4</v>
      </c>
      <c r="P413" s="9">
        <v>2.02</v>
      </c>
      <c r="Q413" s="9">
        <v>24.04</v>
      </c>
      <c r="R413" s="17">
        <v>43.14</v>
      </c>
      <c r="S413" s="16">
        <v>8.91</v>
      </c>
      <c r="T413" s="9">
        <v>6383.5</v>
      </c>
      <c r="U413" s="16"/>
      <c r="V413" s="9"/>
      <c r="W413" s="17"/>
    </row>
    <row r="414" spans="1:23" x14ac:dyDescent="0.25">
      <c r="A414" s="9" t="s">
        <v>74</v>
      </c>
      <c r="B414" s="16">
        <v>200</v>
      </c>
      <c r="C414" s="9">
        <v>75</v>
      </c>
      <c r="D414" s="9">
        <v>11.5</v>
      </c>
      <c r="E414" s="9">
        <v>151</v>
      </c>
      <c r="F414" s="9">
        <v>8.5</v>
      </c>
      <c r="G414" s="16">
        <v>32.200000000000003</v>
      </c>
      <c r="H414" s="17">
        <v>25.3</v>
      </c>
      <c r="I414" s="16">
        <v>1910</v>
      </c>
      <c r="J414" s="9">
        <v>191</v>
      </c>
      <c r="K414" s="9">
        <v>7.7</v>
      </c>
      <c r="L414" s="9">
        <v>114</v>
      </c>
      <c r="M414" s="17">
        <v>228</v>
      </c>
      <c r="N414" s="16">
        <v>148</v>
      </c>
      <c r="O414" s="9">
        <v>27</v>
      </c>
      <c r="P414" s="9">
        <v>2.14</v>
      </c>
      <c r="Q414" s="9">
        <v>29.41</v>
      </c>
      <c r="R414" s="17">
        <v>51.89</v>
      </c>
      <c r="S414" s="16">
        <v>11.23</v>
      </c>
      <c r="T414" s="9">
        <v>10429</v>
      </c>
      <c r="U414" s="16"/>
      <c r="V414" s="9"/>
      <c r="W414" s="17"/>
    </row>
    <row r="415" spans="1:23" x14ac:dyDescent="0.25">
      <c r="A415" s="9" t="s">
        <v>74</v>
      </c>
      <c r="B415" s="16">
        <v>220</v>
      </c>
      <c r="C415" s="9">
        <v>80</v>
      </c>
      <c r="D415" s="9">
        <v>12.5</v>
      </c>
      <c r="E415" s="9">
        <v>167</v>
      </c>
      <c r="F415" s="9">
        <v>9</v>
      </c>
      <c r="G415" s="16">
        <v>37.4</v>
      </c>
      <c r="H415" s="17">
        <v>29.4</v>
      </c>
      <c r="I415" s="16">
        <v>2690</v>
      </c>
      <c r="J415" s="9">
        <v>245</v>
      </c>
      <c r="K415" s="9">
        <v>8.48</v>
      </c>
      <c r="L415" s="9">
        <v>146</v>
      </c>
      <c r="M415" s="17">
        <v>292</v>
      </c>
      <c r="N415" s="16">
        <v>197</v>
      </c>
      <c r="O415" s="9">
        <v>33.6</v>
      </c>
      <c r="P415" s="9">
        <v>2.2999999999999998</v>
      </c>
      <c r="Q415" s="9">
        <v>36.380000000000003</v>
      </c>
      <c r="R415" s="17">
        <v>64.400000000000006</v>
      </c>
      <c r="S415" s="16">
        <v>15.16</v>
      </c>
      <c r="T415" s="9">
        <v>16737</v>
      </c>
      <c r="U415" s="16"/>
      <c r="V415" s="9"/>
      <c r="W415" s="17"/>
    </row>
    <row r="416" spans="1:23" x14ac:dyDescent="0.25">
      <c r="A416" s="9" t="s">
        <v>74</v>
      </c>
      <c r="B416" s="16">
        <v>240</v>
      </c>
      <c r="C416" s="9">
        <v>85</v>
      </c>
      <c r="D416" s="9">
        <v>13</v>
      </c>
      <c r="E416" s="9">
        <v>184</v>
      </c>
      <c r="F416" s="9">
        <v>9.5</v>
      </c>
      <c r="G416" s="16">
        <v>42.3</v>
      </c>
      <c r="H416" s="17">
        <v>33.200000000000003</v>
      </c>
      <c r="I416" s="16">
        <v>3600</v>
      </c>
      <c r="J416" s="9">
        <v>300</v>
      </c>
      <c r="K416" s="9">
        <v>9.2200000000000006</v>
      </c>
      <c r="L416" s="9">
        <v>179</v>
      </c>
      <c r="M416" s="17">
        <v>358</v>
      </c>
      <c r="N416" s="16">
        <v>248</v>
      </c>
      <c r="O416" s="9">
        <v>39.6</v>
      </c>
      <c r="P416" s="9">
        <v>2.42</v>
      </c>
      <c r="Q416" s="9">
        <v>43.3</v>
      </c>
      <c r="R416" s="17">
        <v>76.02</v>
      </c>
      <c r="S416" s="16">
        <v>18.57</v>
      </c>
      <c r="T416" s="9">
        <v>25390</v>
      </c>
      <c r="U416" s="16"/>
      <c r="V416" s="9"/>
      <c r="W416" s="17"/>
    </row>
    <row r="417" spans="1:23" x14ac:dyDescent="0.25">
      <c r="A417" s="9" t="s">
        <v>74</v>
      </c>
      <c r="B417" s="16">
        <v>260</v>
      </c>
      <c r="C417" s="9">
        <v>90</v>
      </c>
      <c r="D417" s="9">
        <v>14</v>
      </c>
      <c r="E417" s="9">
        <v>200</v>
      </c>
      <c r="F417" s="9">
        <v>10</v>
      </c>
      <c r="G417" s="16">
        <v>48.3</v>
      </c>
      <c r="H417" s="17">
        <v>37.9</v>
      </c>
      <c r="I417" s="16">
        <v>4820</v>
      </c>
      <c r="J417" s="9">
        <v>371</v>
      </c>
      <c r="K417" s="9">
        <v>9.99</v>
      </c>
      <c r="L417" s="9">
        <v>221</v>
      </c>
      <c r="M417" s="17">
        <v>442</v>
      </c>
      <c r="N417" s="16">
        <v>317</v>
      </c>
      <c r="O417" s="9">
        <v>47.7</v>
      </c>
      <c r="P417" s="9">
        <v>2.56</v>
      </c>
      <c r="Q417" s="9">
        <v>52.38</v>
      </c>
      <c r="R417" s="17">
        <v>92.22</v>
      </c>
      <c r="S417" s="16">
        <v>24.2</v>
      </c>
      <c r="T417" s="9">
        <v>38133</v>
      </c>
      <c r="U417" s="16"/>
      <c r="V417" s="9"/>
      <c r="W417" s="17"/>
    </row>
    <row r="418" spans="1:23" x14ac:dyDescent="0.25">
      <c r="A418" s="9" t="s">
        <v>74</v>
      </c>
      <c r="B418" s="16">
        <v>280</v>
      </c>
      <c r="C418" s="9">
        <v>95</v>
      </c>
      <c r="D418" s="9">
        <v>15</v>
      </c>
      <c r="E418" s="9">
        <v>216</v>
      </c>
      <c r="F418" s="9">
        <v>10</v>
      </c>
      <c r="G418" s="16">
        <v>53.3</v>
      </c>
      <c r="H418" s="17">
        <v>41.8</v>
      </c>
      <c r="I418" s="16">
        <v>6280</v>
      </c>
      <c r="J418" s="9">
        <v>448</v>
      </c>
      <c r="K418" s="9">
        <v>10.9</v>
      </c>
      <c r="L418" s="9">
        <v>266</v>
      </c>
      <c r="M418" s="17">
        <v>532</v>
      </c>
      <c r="N418" s="16">
        <v>399</v>
      </c>
      <c r="O418" s="9">
        <v>57.2</v>
      </c>
      <c r="P418" s="9">
        <v>2.74</v>
      </c>
      <c r="Q418" s="9">
        <v>62.03</v>
      </c>
      <c r="R418" s="17">
        <v>109.9</v>
      </c>
      <c r="S418" s="16">
        <v>29.71</v>
      </c>
      <c r="T418" s="9">
        <v>55532</v>
      </c>
      <c r="U418" s="16"/>
      <c r="V418" s="9"/>
      <c r="W418" s="17"/>
    </row>
    <row r="419" spans="1:23" x14ac:dyDescent="0.25">
      <c r="A419" s="9" t="s">
        <v>74</v>
      </c>
      <c r="B419" s="16">
        <v>300</v>
      </c>
      <c r="C419" s="9">
        <v>100</v>
      </c>
      <c r="D419" s="9">
        <v>16</v>
      </c>
      <c r="E419" s="9">
        <v>232</v>
      </c>
      <c r="F419" s="9">
        <v>10</v>
      </c>
      <c r="G419" s="16">
        <v>58.8</v>
      </c>
      <c r="H419" s="17">
        <v>46.2</v>
      </c>
      <c r="I419" s="16">
        <v>8030</v>
      </c>
      <c r="J419" s="9">
        <v>535</v>
      </c>
      <c r="K419" s="9">
        <v>11.7</v>
      </c>
      <c r="L419" s="9">
        <v>316</v>
      </c>
      <c r="M419" s="17">
        <v>632</v>
      </c>
      <c r="N419" s="16">
        <v>495</v>
      </c>
      <c r="O419" s="9">
        <v>67.8</v>
      </c>
      <c r="P419" s="9">
        <v>2.9</v>
      </c>
      <c r="Q419" s="9">
        <v>72.709999999999994</v>
      </c>
      <c r="R419" s="17">
        <v>130</v>
      </c>
      <c r="S419" s="16">
        <v>36.24</v>
      </c>
      <c r="T419" s="9">
        <v>78829</v>
      </c>
      <c r="U419" s="16"/>
      <c r="V419" s="9"/>
      <c r="W419" s="17"/>
    </row>
    <row r="420" spans="1:23" x14ac:dyDescent="0.25">
      <c r="A420" s="9" t="s">
        <v>74</v>
      </c>
      <c r="B420" s="16">
        <v>320</v>
      </c>
      <c r="C420" s="9">
        <v>100</v>
      </c>
      <c r="D420" s="9">
        <v>17.5</v>
      </c>
      <c r="E420" s="9">
        <v>246</v>
      </c>
      <c r="F420" s="9">
        <v>14</v>
      </c>
      <c r="G420" s="16">
        <v>75.8</v>
      </c>
      <c r="H420" s="17">
        <v>59.5</v>
      </c>
      <c r="I420" s="16">
        <v>10870</v>
      </c>
      <c r="J420" s="9">
        <v>679</v>
      </c>
      <c r="K420" s="9">
        <v>12.1</v>
      </c>
      <c r="L420" s="9">
        <v>413</v>
      </c>
      <c r="M420" s="17">
        <v>826</v>
      </c>
      <c r="N420" s="16">
        <v>597</v>
      </c>
      <c r="O420" s="9">
        <v>80.599999999999994</v>
      </c>
      <c r="P420" s="9">
        <v>2.81</v>
      </c>
      <c r="Q420" s="9">
        <v>91.63</v>
      </c>
      <c r="R420" s="17">
        <v>158.9</v>
      </c>
      <c r="S420" s="16">
        <v>61.8</v>
      </c>
      <c r="T420" s="9">
        <v>104418</v>
      </c>
      <c r="U420" s="16"/>
      <c r="V420" s="9"/>
      <c r="W420" s="17"/>
    </row>
    <row r="421" spans="1:23" x14ac:dyDescent="0.25">
      <c r="A421" s="9" t="s">
        <v>74</v>
      </c>
      <c r="B421" s="16">
        <v>350</v>
      </c>
      <c r="C421" s="9">
        <v>100</v>
      </c>
      <c r="D421" s="9">
        <v>16</v>
      </c>
      <c r="E421" s="9">
        <v>282</v>
      </c>
      <c r="F421" s="9">
        <v>14</v>
      </c>
      <c r="G421" s="16">
        <v>77.3</v>
      </c>
      <c r="H421" s="17">
        <v>60.6</v>
      </c>
      <c r="I421" s="16">
        <v>12840</v>
      </c>
      <c r="J421" s="9">
        <v>734</v>
      </c>
      <c r="K421" s="9">
        <v>12.9</v>
      </c>
      <c r="L421" s="9">
        <v>459</v>
      </c>
      <c r="M421" s="17">
        <v>918</v>
      </c>
      <c r="N421" s="16">
        <v>570</v>
      </c>
      <c r="O421" s="9">
        <v>75</v>
      </c>
      <c r="P421" s="9">
        <v>2.72</v>
      </c>
      <c r="Q421" s="9">
        <v>88.72</v>
      </c>
      <c r="R421" s="17">
        <v>149.6</v>
      </c>
      <c r="S421" s="16">
        <v>56.39</v>
      </c>
      <c r="T421" s="9">
        <v>123305</v>
      </c>
      <c r="U421" s="16"/>
      <c r="V421" s="9"/>
      <c r="W421" s="17"/>
    </row>
    <row r="422" spans="1:23" x14ac:dyDescent="0.25">
      <c r="A422" s="9" t="s">
        <v>74</v>
      </c>
      <c r="B422" s="16">
        <v>380</v>
      </c>
      <c r="C422" s="9">
        <v>102</v>
      </c>
      <c r="D422" s="9">
        <v>16</v>
      </c>
      <c r="E422" s="9">
        <v>313</v>
      </c>
      <c r="F422" s="9">
        <v>13.5</v>
      </c>
      <c r="G422" s="16">
        <v>80.400000000000006</v>
      </c>
      <c r="H422" s="17">
        <v>63.1</v>
      </c>
      <c r="I422" s="16">
        <v>15760</v>
      </c>
      <c r="J422" s="9">
        <v>829</v>
      </c>
      <c r="K422" s="9">
        <v>14</v>
      </c>
      <c r="L422" s="9">
        <v>507</v>
      </c>
      <c r="M422" s="17">
        <v>1014</v>
      </c>
      <c r="N422" s="16">
        <v>615</v>
      </c>
      <c r="O422" s="9">
        <v>78.7</v>
      </c>
      <c r="P422" s="9">
        <v>2.77</v>
      </c>
      <c r="Q422" s="9">
        <v>93.75</v>
      </c>
      <c r="R422" s="17">
        <v>156.80000000000001</v>
      </c>
      <c r="S422" s="16">
        <v>56.39</v>
      </c>
      <c r="T422" s="9">
        <v>158663</v>
      </c>
      <c r="U422" s="16"/>
      <c r="V422" s="9"/>
      <c r="W422" s="17"/>
    </row>
    <row r="423" spans="1:23" x14ac:dyDescent="0.25">
      <c r="A423" s="9" t="s">
        <v>74</v>
      </c>
      <c r="B423" s="16">
        <v>400</v>
      </c>
      <c r="C423" s="9">
        <v>110</v>
      </c>
      <c r="D423" s="9">
        <v>18</v>
      </c>
      <c r="E423" s="9">
        <v>324</v>
      </c>
      <c r="F423" s="9">
        <v>14</v>
      </c>
      <c r="G423" s="16">
        <v>91.5</v>
      </c>
      <c r="H423" s="17">
        <v>71.8</v>
      </c>
      <c r="I423" s="16">
        <v>20350</v>
      </c>
      <c r="J423" s="9">
        <v>1020</v>
      </c>
      <c r="K423" s="9">
        <v>14.9</v>
      </c>
      <c r="L423" s="9">
        <v>618</v>
      </c>
      <c r="M423" s="17">
        <v>1236</v>
      </c>
      <c r="N423" s="16">
        <v>846</v>
      </c>
      <c r="O423" s="9">
        <v>102</v>
      </c>
      <c r="P423" s="9">
        <v>3.04</v>
      </c>
      <c r="Q423" s="9">
        <v>119.2</v>
      </c>
      <c r="R423" s="17">
        <v>202.3</v>
      </c>
      <c r="S423" s="16">
        <v>76.06</v>
      </c>
      <c r="T423" s="9">
        <v>239940</v>
      </c>
      <c r="U423" s="16"/>
      <c r="V423" s="9"/>
      <c r="W423" s="17"/>
    </row>
    <row r="424" spans="1:23" x14ac:dyDescent="0.25">
      <c r="A424" s="9" t="s">
        <v>80</v>
      </c>
      <c r="B424" s="16">
        <v>381</v>
      </c>
      <c r="C424" s="9">
        <v>94.4</v>
      </c>
      <c r="D424" s="9">
        <v>16.5</v>
      </c>
      <c r="E424" s="9">
        <v>308</v>
      </c>
      <c r="F424" s="9">
        <v>18.2</v>
      </c>
      <c r="G424" s="16">
        <v>94.8</v>
      </c>
      <c r="H424" s="17">
        <v>74.400000000000006</v>
      </c>
      <c r="I424" s="16">
        <v>16816</v>
      </c>
      <c r="J424" s="9">
        <v>882</v>
      </c>
      <c r="K424" s="9">
        <v>13.31</v>
      </c>
      <c r="L424" s="9">
        <v>559</v>
      </c>
      <c r="M424" s="17">
        <v>1118</v>
      </c>
      <c r="N424" s="16">
        <v>458</v>
      </c>
      <c r="O424" s="9">
        <v>62</v>
      </c>
      <c r="P424" s="9">
        <v>2.2000000000000002</v>
      </c>
      <c r="Q424" s="9">
        <v>67</v>
      </c>
      <c r="R424" s="17">
        <v>134</v>
      </c>
      <c r="S424" s="16">
        <v>111</v>
      </c>
      <c r="T424" s="9">
        <v>132120</v>
      </c>
      <c r="U424" s="16">
        <v>2.0299999999999998</v>
      </c>
      <c r="V424" s="9">
        <v>1.48</v>
      </c>
      <c r="W424" s="17">
        <v>1.24</v>
      </c>
    </row>
    <row r="425" spans="1:23" x14ac:dyDescent="0.25">
      <c r="A425" s="9" t="s">
        <v>80</v>
      </c>
      <c r="B425" s="16">
        <v>381</v>
      </c>
      <c r="C425" s="9">
        <v>89.4</v>
      </c>
      <c r="D425" s="9">
        <v>16.5</v>
      </c>
      <c r="E425" s="9">
        <v>308</v>
      </c>
      <c r="F425" s="9">
        <v>13.2</v>
      </c>
      <c r="G425" s="16">
        <v>76.099999999999994</v>
      </c>
      <c r="H425" s="17">
        <v>59.5</v>
      </c>
      <c r="I425" s="16">
        <v>14526</v>
      </c>
      <c r="J425" s="9">
        <v>762</v>
      </c>
      <c r="K425" s="9">
        <v>13.82</v>
      </c>
      <c r="L425" s="9">
        <v>469</v>
      </c>
      <c r="M425" s="17">
        <v>937</v>
      </c>
      <c r="N425" s="16">
        <v>384</v>
      </c>
      <c r="O425" s="9">
        <v>55</v>
      </c>
      <c r="P425" s="9">
        <v>2.25</v>
      </c>
      <c r="Q425" s="9">
        <v>56</v>
      </c>
      <c r="R425" s="17">
        <v>113</v>
      </c>
      <c r="S425" s="16">
        <v>60.8</v>
      </c>
      <c r="T425" s="9">
        <v>110368</v>
      </c>
      <c r="U425" s="16">
        <v>1.97</v>
      </c>
      <c r="V425" s="9">
        <v>1.95</v>
      </c>
      <c r="W425" s="17">
        <v>0.99</v>
      </c>
    </row>
    <row r="426" spans="1:23" x14ac:dyDescent="0.25">
      <c r="A426" s="9" t="s">
        <v>80</v>
      </c>
      <c r="B426" s="16">
        <v>381</v>
      </c>
      <c r="C426" s="9">
        <v>86.4</v>
      </c>
      <c r="D426" s="9">
        <v>16.5</v>
      </c>
      <c r="E426" s="9">
        <v>308</v>
      </c>
      <c r="F426" s="9">
        <v>10.199999999999999</v>
      </c>
      <c r="G426" s="16">
        <v>64.3</v>
      </c>
      <c r="H426" s="17">
        <v>50.4</v>
      </c>
      <c r="I426" s="16">
        <v>13111</v>
      </c>
      <c r="J426" s="9">
        <v>688</v>
      </c>
      <c r="K426" s="9">
        <v>14.27</v>
      </c>
      <c r="L426" s="9">
        <v>413</v>
      </c>
      <c r="M426" s="17">
        <v>826</v>
      </c>
      <c r="N426" s="16">
        <v>338</v>
      </c>
      <c r="O426" s="9">
        <v>51</v>
      </c>
      <c r="P426" s="9">
        <v>2.2999999999999998</v>
      </c>
      <c r="Q426" s="9">
        <v>51</v>
      </c>
      <c r="R426" s="17">
        <v>102</v>
      </c>
      <c r="S426" s="16">
        <v>42.5</v>
      </c>
      <c r="T426" s="9">
        <v>96136</v>
      </c>
      <c r="U426" s="16">
        <v>2</v>
      </c>
      <c r="V426" s="9">
        <v>2.2799999999999998</v>
      </c>
      <c r="W426" s="17">
        <v>0.84</v>
      </c>
    </row>
    <row r="427" spans="1:23" x14ac:dyDescent="0.25">
      <c r="A427" s="9" t="s">
        <v>80</v>
      </c>
      <c r="B427" s="16">
        <v>305</v>
      </c>
      <c r="C427" s="9">
        <v>80.5</v>
      </c>
      <c r="D427" s="9">
        <v>12.7</v>
      </c>
      <c r="E427" s="9">
        <v>248</v>
      </c>
      <c r="F427" s="9">
        <v>13</v>
      </c>
      <c r="G427" s="16">
        <v>56.9</v>
      </c>
      <c r="H427" s="17">
        <v>44.6</v>
      </c>
      <c r="I427" s="16">
        <v>6743</v>
      </c>
      <c r="J427" s="9">
        <v>442</v>
      </c>
      <c r="K427" s="9">
        <v>10.9</v>
      </c>
      <c r="L427" s="9">
        <v>275</v>
      </c>
      <c r="M427" s="17">
        <v>551</v>
      </c>
      <c r="N427" s="16">
        <v>214</v>
      </c>
      <c r="O427" s="9">
        <v>34</v>
      </c>
      <c r="P427" s="9">
        <v>1.94</v>
      </c>
      <c r="Q427" s="9">
        <v>35</v>
      </c>
      <c r="R427" s="17">
        <v>71</v>
      </c>
      <c r="S427" s="16">
        <v>36.200000000000003</v>
      </c>
      <c r="T427" s="9">
        <v>40549</v>
      </c>
      <c r="U427" s="16">
        <v>1.71</v>
      </c>
      <c r="V427" s="9">
        <v>1.57</v>
      </c>
      <c r="W427" s="17">
        <v>0.93</v>
      </c>
    </row>
    <row r="428" spans="1:23" x14ac:dyDescent="0.25">
      <c r="A428" s="9" t="s">
        <v>80</v>
      </c>
      <c r="B428" s="16">
        <v>305</v>
      </c>
      <c r="C428" s="9">
        <v>77.400000000000006</v>
      </c>
      <c r="D428" s="9">
        <v>12.7</v>
      </c>
      <c r="E428" s="9">
        <v>248</v>
      </c>
      <c r="F428" s="9">
        <v>9.8000000000000007</v>
      </c>
      <c r="G428" s="16">
        <v>47.4</v>
      </c>
      <c r="H428" s="17">
        <v>37.200000000000003</v>
      </c>
      <c r="I428" s="16">
        <v>5994</v>
      </c>
      <c r="J428" s="9">
        <v>395</v>
      </c>
      <c r="K428" s="9">
        <v>11.25</v>
      </c>
      <c r="L428" s="9">
        <v>239</v>
      </c>
      <c r="M428" s="17">
        <v>479</v>
      </c>
      <c r="N428" s="16">
        <v>186</v>
      </c>
      <c r="O428" s="9">
        <v>31</v>
      </c>
      <c r="P428" s="9">
        <v>1.98</v>
      </c>
      <c r="Q428" s="9">
        <v>31</v>
      </c>
      <c r="R428" s="17">
        <v>63</v>
      </c>
      <c r="S428" s="16">
        <v>22.5</v>
      </c>
      <c r="T428" s="9">
        <v>34910</v>
      </c>
      <c r="U428" s="16">
        <v>1.71</v>
      </c>
      <c r="V428" s="9">
        <v>1.89</v>
      </c>
      <c r="W428" s="17">
        <v>0.77</v>
      </c>
    </row>
    <row r="429" spans="1:23" x14ac:dyDescent="0.25">
      <c r="A429" s="9" t="s">
        <v>80</v>
      </c>
      <c r="B429" s="16">
        <v>305</v>
      </c>
      <c r="C429" s="9">
        <v>74.7</v>
      </c>
      <c r="D429" s="9">
        <v>12.7</v>
      </c>
      <c r="E429" s="9">
        <v>248</v>
      </c>
      <c r="F429" s="9">
        <v>7.2</v>
      </c>
      <c r="G429" s="16">
        <v>39.299999999999997</v>
      </c>
      <c r="H429" s="17">
        <v>30.8</v>
      </c>
      <c r="I429" s="16">
        <v>5369</v>
      </c>
      <c r="J429" s="9">
        <v>352</v>
      </c>
      <c r="K429" s="9">
        <v>11.71</v>
      </c>
      <c r="L429" s="9">
        <v>208</v>
      </c>
      <c r="M429" s="17">
        <v>416</v>
      </c>
      <c r="N429" s="16">
        <v>161</v>
      </c>
      <c r="O429" s="9">
        <v>28</v>
      </c>
      <c r="P429" s="9">
        <v>2.0299999999999998</v>
      </c>
      <c r="Q429" s="9">
        <v>29</v>
      </c>
      <c r="R429" s="17">
        <v>57</v>
      </c>
      <c r="S429" s="16">
        <v>15.4</v>
      </c>
      <c r="T429" s="9">
        <v>30076</v>
      </c>
      <c r="U429" s="16">
        <v>1.77</v>
      </c>
      <c r="V429" s="9">
        <v>2.21</v>
      </c>
      <c r="W429" s="17">
        <v>0.64</v>
      </c>
    </row>
    <row r="430" spans="1:23" x14ac:dyDescent="0.25">
      <c r="A430" s="9" t="s">
        <v>80</v>
      </c>
      <c r="B430" s="16">
        <v>254</v>
      </c>
      <c r="C430" s="9">
        <v>77</v>
      </c>
      <c r="D430" s="9">
        <v>11.1</v>
      </c>
      <c r="E430" s="9">
        <v>203</v>
      </c>
      <c r="F430" s="9">
        <v>17.100000000000001</v>
      </c>
      <c r="G430" s="16">
        <v>56.9</v>
      </c>
      <c r="H430" s="17">
        <v>44.6</v>
      </c>
      <c r="I430" s="16">
        <v>4287</v>
      </c>
      <c r="J430" s="9">
        <v>339</v>
      </c>
      <c r="K430" s="9">
        <v>8.69</v>
      </c>
      <c r="L430" s="9">
        <v>218</v>
      </c>
      <c r="M430" s="17">
        <v>436</v>
      </c>
      <c r="N430" s="16">
        <v>164</v>
      </c>
      <c r="O430" s="9">
        <v>27</v>
      </c>
      <c r="P430" s="9">
        <v>1.7</v>
      </c>
      <c r="Q430" s="9">
        <v>31</v>
      </c>
      <c r="R430" s="17">
        <v>62</v>
      </c>
      <c r="S430" s="16">
        <v>51.2</v>
      </c>
      <c r="T430" s="9">
        <v>21295</v>
      </c>
      <c r="U430" s="16">
        <v>1.65</v>
      </c>
      <c r="V430" s="9">
        <v>0.94</v>
      </c>
      <c r="W430" s="17">
        <v>1.1200000000000001</v>
      </c>
    </row>
    <row r="431" spans="1:23" x14ac:dyDescent="0.25">
      <c r="A431" s="9" t="s">
        <v>80</v>
      </c>
      <c r="B431" s="16">
        <v>254</v>
      </c>
      <c r="C431" s="9">
        <v>73.3</v>
      </c>
      <c r="D431" s="9">
        <v>11.1</v>
      </c>
      <c r="E431" s="9">
        <v>203</v>
      </c>
      <c r="F431" s="9">
        <v>13.4</v>
      </c>
      <c r="G431" s="16">
        <v>47.4</v>
      </c>
      <c r="H431" s="17">
        <v>37.200000000000003</v>
      </c>
      <c r="I431" s="16">
        <v>3796</v>
      </c>
      <c r="J431" s="9">
        <v>298</v>
      </c>
      <c r="K431" s="9">
        <v>8.94</v>
      </c>
      <c r="L431" s="9">
        <v>188</v>
      </c>
      <c r="M431" s="17">
        <v>377</v>
      </c>
      <c r="N431" s="16">
        <v>140</v>
      </c>
      <c r="O431" s="9">
        <v>24</v>
      </c>
      <c r="P431" s="9">
        <v>1.72</v>
      </c>
      <c r="Q431" s="9">
        <v>26</v>
      </c>
      <c r="R431" s="17">
        <v>52</v>
      </c>
      <c r="S431" s="16">
        <v>28.7</v>
      </c>
      <c r="T431" s="9">
        <v>18368</v>
      </c>
      <c r="U431" s="16">
        <v>1.57</v>
      </c>
      <c r="V431" s="9">
        <v>1.25</v>
      </c>
      <c r="W431" s="17">
        <v>0.93</v>
      </c>
    </row>
    <row r="432" spans="1:23" x14ac:dyDescent="0.25">
      <c r="A432" s="9" t="s">
        <v>80</v>
      </c>
      <c r="B432" s="16">
        <v>254</v>
      </c>
      <c r="C432" s="9">
        <v>69.599999999999994</v>
      </c>
      <c r="D432" s="9">
        <v>11.1</v>
      </c>
      <c r="E432" s="9">
        <v>203</v>
      </c>
      <c r="F432" s="9">
        <v>9.6</v>
      </c>
      <c r="G432" s="16">
        <v>37.9</v>
      </c>
      <c r="H432" s="17">
        <v>29.8</v>
      </c>
      <c r="I432" s="16">
        <v>3284</v>
      </c>
      <c r="J432" s="9">
        <v>259</v>
      </c>
      <c r="K432" s="9">
        <v>9.3000000000000007</v>
      </c>
      <c r="L432" s="9">
        <v>158</v>
      </c>
      <c r="M432" s="17">
        <v>316</v>
      </c>
      <c r="N432" s="16">
        <v>117</v>
      </c>
      <c r="O432" s="9">
        <v>22</v>
      </c>
      <c r="P432" s="9">
        <v>1.76</v>
      </c>
      <c r="Q432" s="9">
        <v>22</v>
      </c>
      <c r="R432" s="17">
        <v>44</v>
      </c>
      <c r="S432" s="16">
        <v>15.4</v>
      </c>
      <c r="T432" s="9">
        <v>15280</v>
      </c>
      <c r="U432" s="16">
        <v>1.54</v>
      </c>
      <c r="V432" s="9">
        <v>1.62</v>
      </c>
      <c r="W432" s="17">
        <v>0.74</v>
      </c>
    </row>
    <row r="433" spans="1:23" x14ac:dyDescent="0.25">
      <c r="A433" s="9" t="s">
        <v>80</v>
      </c>
      <c r="B433" s="16">
        <v>254</v>
      </c>
      <c r="C433" s="9">
        <v>66</v>
      </c>
      <c r="D433" s="9">
        <v>11.1</v>
      </c>
      <c r="E433" s="9">
        <v>203</v>
      </c>
      <c r="F433" s="9">
        <v>6.1</v>
      </c>
      <c r="G433" s="16">
        <v>29</v>
      </c>
      <c r="H433" s="17">
        <v>22.8</v>
      </c>
      <c r="I433" s="16">
        <v>2805</v>
      </c>
      <c r="J433" s="9">
        <v>221</v>
      </c>
      <c r="K433" s="9">
        <v>9.83</v>
      </c>
      <c r="L433" s="9">
        <v>129</v>
      </c>
      <c r="M433" s="17">
        <v>259</v>
      </c>
      <c r="N433" s="16">
        <v>95</v>
      </c>
      <c r="O433" s="9">
        <v>19</v>
      </c>
      <c r="P433" s="9">
        <v>1.81</v>
      </c>
      <c r="Q433" s="9">
        <v>19</v>
      </c>
      <c r="R433" s="17">
        <v>39</v>
      </c>
      <c r="S433" s="16">
        <v>8.74</v>
      </c>
      <c r="T433" s="9">
        <v>12245</v>
      </c>
      <c r="U433" s="16">
        <v>1.61</v>
      </c>
      <c r="V433" s="9">
        <v>2.02</v>
      </c>
      <c r="W433" s="17">
        <v>0.56999999999999995</v>
      </c>
    </row>
    <row r="434" spans="1:23" x14ac:dyDescent="0.25">
      <c r="A434" s="9" t="s">
        <v>80</v>
      </c>
      <c r="B434" s="16">
        <v>229</v>
      </c>
      <c r="C434" s="9">
        <v>67.3</v>
      </c>
      <c r="D434" s="9">
        <v>10.5</v>
      </c>
      <c r="E434" s="9">
        <v>109</v>
      </c>
      <c r="F434" s="9">
        <v>11.4</v>
      </c>
      <c r="G434" s="16">
        <v>37.9</v>
      </c>
      <c r="H434" s="17">
        <v>29.8</v>
      </c>
      <c r="I434" s="16">
        <v>2535</v>
      </c>
      <c r="J434" s="9">
        <v>221</v>
      </c>
      <c r="K434" s="9">
        <v>8.18</v>
      </c>
      <c r="L434" s="9">
        <v>138</v>
      </c>
      <c r="M434" s="17">
        <v>275</v>
      </c>
      <c r="N434" s="16">
        <v>101</v>
      </c>
      <c r="O434" s="9">
        <v>19</v>
      </c>
      <c r="P434" s="9">
        <v>1.63</v>
      </c>
      <c r="Q434" s="9">
        <v>20</v>
      </c>
      <c r="R434" s="17">
        <v>40</v>
      </c>
      <c r="S434" s="16">
        <v>17.899999999999999</v>
      </c>
      <c r="T434" s="9">
        <v>10580</v>
      </c>
      <c r="U434" s="16">
        <v>1.48</v>
      </c>
      <c r="V434" s="9">
        <v>1.31</v>
      </c>
      <c r="W434" s="17">
        <v>0.83</v>
      </c>
    </row>
    <row r="435" spans="1:23" x14ac:dyDescent="0.25">
      <c r="A435" s="9" t="s">
        <v>80</v>
      </c>
      <c r="B435" s="16">
        <v>229</v>
      </c>
      <c r="C435" s="9">
        <v>63.1</v>
      </c>
      <c r="D435" s="9">
        <v>10.5</v>
      </c>
      <c r="E435" s="9">
        <v>109</v>
      </c>
      <c r="F435" s="9">
        <v>7.2</v>
      </c>
      <c r="G435" s="16">
        <v>28.5</v>
      </c>
      <c r="H435" s="17">
        <v>22.3</v>
      </c>
      <c r="I435" s="16">
        <v>2123</v>
      </c>
      <c r="J435" s="9">
        <v>185</v>
      </c>
      <c r="K435" s="9">
        <v>8.64</v>
      </c>
      <c r="L435" s="9">
        <v>111</v>
      </c>
      <c r="M435" s="17">
        <v>221</v>
      </c>
      <c r="N435" s="16">
        <v>80</v>
      </c>
      <c r="O435" s="9">
        <v>17</v>
      </c>
      <c r="P435" s="9">
        <v>1.68</v>
      </c>
      <c r="Q435" s="9">
        <v>17</v>
      </c>
      <c r="R435" s="17">
        <v>34</v>
      </c>
      <c r="S435" s="16">
        <v>8.74</v>
      </c>
      <c r="T435" s="9">
        <v>8325</v>
      </c>
      <c r="U435" s="16">
        <v>1.49</v>
      </c>
      <c r="V435" s="9">
        <v>1.73</v>
      </c>
      <c r="W435" s="17">
        <v>0.62</v>
      </c>
    </row>
    <row r="436" spans="1:23" x14ac:dyDescent="0.25">
      <c r="A436" s="9" t="s">
        <v>80</v>
      </c>
      <c r="B436" s="16">
        <v>229</v>
      </c>
      <c r="C436" s="9">
        <v>61.8</v>
      </c>
      <c r="D436" s="9">
        <v>10.5</v>
      </c>
      <c r="E436" s="9">
        <v>109</v>
      </c>
      <c r="F436" s="9">
        <v>5.9</v>
      </c>
      <c r="G436" s="16">
        <v>25.4</v>
      </c>
      <c r="H436" s="17">
        <v>19.899999999999999</v>
      </c>
      <c r="I436" s="16">
        <v>1994</v>
      </c>
      <c r="J436" s="9">
        <v>174</v>
      </c>
      <c r="K436" s="9">
        <v>8.84</v>
      </c>
      <c r="L436" s="9">
        <v>102</v>
      </c>
      <c r="M436" s="17">
        <v>205</v>
      </c>
      <c r="N436" s="16">
        <v>73</v>
      </c>
      <c r="O436" s="9">
        <v>16</v>
      </c>
      <c r="P436" s="9">
        <v>1.7</v>
      </c>
      <c r="Q436" s="9">
        <v>16</v>
      </c>
      <c r="R436" s="17">
        <v>32</v>
      </c>
      <c r="S436" s="16">
        <v>7.08</v>
      </c>
      <c r="T436" s="9">
        <v>7573</v>
      </c>
      <c r="U436" s="16">
        <v>1.53</v>
      </c>
      <c r="V436" s="9">
        <v>1.89</v>
      </c>
      <c r="W436" s="17">
        <v>0.55000000000000004</v>
      </c>
    </row>
    <row r="437" spans="1:23" x14ac:dyDescent="0.25">
      <c r="A437" s="9" t="s">
        <v>80</v>
      </c>
      <c r="B437" s="16">
        <v>203</v>
      </c>
      <c r="C437" s="9">
        <v>64.2</v>
      </c>
      <c r="D437" s="9">
        <v>9.91</v>
      </c>
      <c r="E437" s="9">
        <v>156</v>
      </c>
      <c r="F437" s="9">
        <v>12.4</v>
      </c>
      <c r="G437" s="16">
        <v>35.5</v>
      </c>
      <c r="H437" s="17">
        <v>27.9</v>
      </c>
      <c r="I437" s="16">
        <v>1831</v>
      </c>
      <c r="J437" s="9">
        <v>180</v>
      </c>
      <c r="K437" s="9">
        <v>7.16</v>
      </c>
      <c r="L437" s="9">
        <v>113</v>
      </c>
      <c r="M437" s="17">
        <v>226</v>
      </c>
      <c r="N437" s="16">
        <v>82</v>
      </c>
      <c r="O437" s="9">
        <v>17</v>
      </c>
      <c r="P437" s="9">
        <v>1.52</v>
      </c>
      <c r="Q437" s="9">
        <v>18</v>
      </c>
      <c r="R437" s="17">
        <v>36</v>
      </c>
      <c r="S437" s="16">
        <v>18.3</v>
      </c>
      <c r="T437" s="9">
        <v>6740</v>
      </c>
      <c r="U437" s="16">
        <v>1.44</v>
      </c>
      <c r="V437" s="9">
        <v>1.0900000000000001</v>
      </c>
      <c r="W437" s="17">
        <v>0.87</v>
      </c>
    </row>
    <row r="438" spans="1:23" x14ac:dyDescent="0.25">
      <c r="A438" s="9" t="s">
        <v>80</v>
      </c>
      <c r="B438" s="16">
        <v>203</v>
      </c>
      <c r="C438" s="9">
        <v>59.5</v>
      </c>
      <c r="D438" s="9">
        <v>9.91</v>
      </c>
      <c r="E438" s="9">
        <v>156</v>
      </c>
      <c r="F438" s="9">
        <v>7.7</v>
      </c>
      <c r="G438" s="16">
        <v>26.1</v>
      </c>
      <c r="H438" s="17">
        <v>20.5</v>
      </c>
      <c r="I438" s="16">
        <v>1503</v>
      </c>
      <c r="J438" s="9">
        <v>148</v>
      </c>
      <c r="K438" s="9">
        <v>7.59</v>
      </c>
      <c r="L438" s="9">
        <v>89</v>
      </c>
      <c r="M438" s="17">
        <v>179</v>
      </c>
      <c r="N438" s="16">
        <v>64</v>
      </c>
      <c r="O438" s="9">
        <v>14</v>
      </c>
      <c r="P438" s="9">
        <v>1.56</v>
      </c>
      <c r="Q438" s="9">
        <v>14</v>
      </c>
      <c r="R438" s="17">
        <v>28</v>
      </c>
      <c r="S438" s="16">
        <v>7.91</v>
      </c>
      <c r="T438" s="9">
        <v>5156</v>
      </c>
      <c r="U438" s="16">
        <v>1.4</v>
      </c>
      <c r="V438" s="9">
        <v>1.53</v>
      </c>
      <c r="W438" s="17">
        <v>0.64</v>
      </c>
    </row>
    <row r="439" spans="1:23" x14ac:dyDescent="0.25">
      <c r="A439" s="9" t="s">
        <v>80</v>
      </c>
      <c r="B439" s="16">
        <v>203</v>
      </c>
      <c r="C439" s="9">
        <v>57.4</v>
      </c>
      <c r="D439" s="9">
        <v>9.91</v>
      </c>
      <c r="E439" s="9">
        <v>156</v>
      </c>
      <c r="F439" s="9">
        <v>5.6</v>
      </c>
      <c r="G439" s="16">
        <v>21.8</v>
      </c>
      <c r="H439" s="17">
        <v>17.100000000000001</v>
      </c>
      <c r="I439" s="16">
        <v>1357</v>
      </c>
      <c r="J439" s="9">
        <v>133</v>
      </c>
      <c r="K439" s="9">
        <v>7.9</v>
      </c>
      <c r="L439" s="9">
        <v>78</v>
      </c>
      <c r="M439" s="17">
        <v>156</v>
      </c>
      <c r="N439" s="16">
        <v>55</v>
      </c>
      <c r="O439" s="9">
        <v>13</v>
      </c>
      <c r="P439" s="9">
        <v>1.59</v>
      </c>
      <c r="Q439" s="9">
        <v>13</v>
      </c>
      <c r="R439" s="17">
        <v>26</v>
      </c>
      <c r="S439" s="16">
        <v>5.41</v>
      </c>
      <c r="T439" s="9">
        <v>4431</v>
      </c>
      <c r="U439" s="16">
        <v>1.45</v>
      </c>
      <c r="V439" s="9">
        <v>1.77</v>
      </c>
      <c r="W439" s="17">
        <v>0.53</v>
      </c>
    </row>
    <row r="440" spans="1:23" x14ac:dyDescent="0.25">
      <c r="A440" s="9" t="s">
        <v>80</v>
      </c>
      <c r="B440" s="16">
        <v>178</v>
      </c>
      <c r="C440" s="9">
        <v>55.7</v>
      </c>
      <c r="D440" s="9">
        <v>9.3000000000000007</v>
      </c>
      <c r="E440" s="9">
        <v>133</v>
      </c>
      <c r="F440" s="9">
        <v>7.98</v>
      </c>
      <c r="G440" s="16">
        <v>23.2</v>
      </c>
      <c r="H440" s="17">
        <v>18.2</v>
      </c>
      <c r="I440" s="16">
        <v>1007</v>
      </c>
      <c r="J440" s="9">
        <v>114</v>
      </c>
      <c r="K440" s="9">
        <v>6.6</v>
      </c>
      <c r="L440" s="9">
        <v>69</v>
      </c>
      <c r="M440" s="17">
        <v>138</v>
      </c>
      <c r="N440" s="16">
        <v>49</v>
      </c>
      <c r="O440" s="9">
        <v>12</v>
      </c>
      <c r="P440" s="9">
        <v>1.45</v>
      </c>
      <c r="Q440" s="9">
        <v>12</v>
      </c>
      <c r="R440" s="17">
        <v>23</v>
      </c>
      <c r="S440" s="16">
        <v>6.66</v>
      </c>
      <c r="T440" s="9">
        <v>3008</v>
      </c>
      <c r="U440" s="16">
        <v>1.33</v>
      </c>
      <c r="V440" s="9">
        <v>1.37</v>
      </c>
      <c r="W440" s="17">
        <v>0.65</v>
      </c>
    </row>
    <row r="441" spans="1:23" x14ac:dyDescent="0.25">
      <c r="A441" s="9" t="s">
        <v>80</v>
      </c>
      <c r="B441" s="16">
        <v>178</v>
      </c>
      <c r="C441" s="9">
        <v>53.1</v>
      </c>
      <c r="D441" s="9">
        <v>9.3000000000000007</v>
      </c>
      <c r="E441" s="9">
        <v>133</v>
      </c>
      <c r="F441" s="9">
        <v>5.3</v>
      </c>
      <c r="G441" s="16">
        <v>18.5</v>
      </c>
      <c r="H441" s="17">
        <v>14.6</v>
      </c>
      <c r="I441" s="16">
        <v>887</v>
      </c>
      <c r="J441" s="9">
        <v>100</v>
      </c>
      <c r="K441" s="9">
        <v>6.91</v>
      </c>
      <c r="L441" s="9">
        <v>58</v>
      </c>
      <c r="M441" s="17">
        <v>117</v>
      </c>
      <c r="N441" s="16">
        <v>40</v>
      </c>
      <c r="O441" s="9">
        <v>10</v>
      </c>
      <c r="P441" s="9">
        <v>1.48</v>
      </c>
      <c r="Q441" s="9">
        <v>10</v>
      </c>
      <c r="R441" s="17">
        <v>21</v>
      </c>
      <c r="S441" s="16">
        <v>4.16</v>
      </c>
      <c r="T441" s="9">
        <v>2465</v>
      </c>
      <c r="U441" s="16">
        <v>1.37</v>
      </c>
      <c r="V441" s="9">
        <v>1.64</v>
      </c>
      <c r="W441" s="17">
        <v>0.52</v>
      </c>
    </row>
    <row r="442" spans="1:23" x14ac:dyDescent="0.25">
      <c r="A442" s="9" t="s">
        <v>80</v>
      </c>
      <c r="B442" s="16">
        <v>152</v>
      </c>
      <c r="C442" s="9">
        <v>54.8</v>
      </c>
      <c r="D442" s="9">
        <v>8.7100000000000009</v>
      </c>
      <c r="E442" s="9">
        <v>111</v>
      </c>
      <c r="F442" s="9">
        <v>11.1</v>
      </c>
      <c r="G442" s="16">
        <v>24.7</v>
      </c>
      <c r="H442" s="17">
        <v>19.3</v>
      </c>
      <c r="I442" s="16">
        <v>724</v>
      </c>
      <c r="J442" s="9">
        <v>95</v>
      </c>
      <c r="K442" s="9">
        <v>5.41</v>
      </c>
      <c r="L442" s="9">
        <v>59</v>
      </c>
      <c r="M442" s="17">
        <v>119</v>
      </c>
      <c r="N442" s="16">
        <v>44</v>
      </c>
      <c r="O442" s="9">
        <v>11</v>
      </c>
      <c r="P442" s="9">
        <v>1.33</v>
      </c>
      <c r="Q442" s="9">
        <v>11</v>
      </c>
      <c r="R442" s="17">
        <v>22</v>
      </c>
      <c r="S442" s="16">
        <v>9.99</v>
      </c>
      <c r="T442" s="9">
        <v>1939</v>
      </c>
      <c r="U442" s="16">
        <v>1.31</v>
      </c>
      <c r="V442" s="9">
        <v>0.97</v>
      </c>
      <c r="W442" s="17">
        <v>0.81</v>
      </c>
    </row>
    <row r="443" spans="1:23" x14ac:dyDescent="0.25">
      <c r="A443" s="9" t="s">
        <v>80</v>
      </c>
      <c r="B443" s="16">
        <v>152</v>
      </c>
      <c r="C443" s="9">
        <v>51.7</v>
      </c>
      <c r="D443" s="9">
        <v>8.7100000000000009</v>
      </c>
      <c r="E443" s="9">
        <v>111</v>
      </c>
      <c r="F443" s="9">
        <v>8</v>
      </c>
      <c r="G443" s="16">
        <v>19.899999999999999</v>
      </c>
      <c r="H443" s="17">
        <v>15.6</v>
      </c>
      <c r="I443" s="16">
        <v>633</v>
      </c>
      <c r="J443" s="9">
        <v>83</v>
      </c>
      <c r="K443" s="9">
        <v>5.64</v>
      </c>
      <c r="L443" s="9">
        <v>50</v>
      </c>
      <c r="M443" s="17">
        <v>101</v>
      </c>
      <c r="N443" s="16">
        <v>36</v>
      </c>
      <c r="O443" s="9">
        <v>9</v>
      </c>
      <c r="P443" s="9">
        <v>1.34</v>
      </c>
      <c r="Q443" s="9">
        <v>9</v>
      </c>
      <c r="R443" s="17">
        <v>19</v>
      </c>
      <c r="S443" s="16">
        <v>5.41</v>
      </c>
      <c r="T443" s="9">
        <v>1598</v>
      </c>
      <c r="U443" s="16">
        <v>1.27</v>
      </c>
      <c r="V443" s="9">
        <v>1.23</v>
      </c>
      <c r="W443" s="17">
        <v>0.65</v>
      </c>
    </row>
    <row r="444" spans="1:23" x14ac:dyDescent="0.25">
      <c r="A444" s="9" t="s">
        <v>80</v>
      </c>
      <c r="B444" s="16">
        <v>152</v>
      </c>
      <c r="C444" s="9">
        <v>48.8</v>
      </c>
      <c r="D444" s="9">
        <v>8.7100000000000009</v>
      </c>
      <c r="E444" s="9">
        <v>111</v>
      </c>
      <c r="F444" s="9">
        <v>5.08</v>
      </c>
      <c r="G444" s="16">
        <v>15.5</v>
      </c>
      <c r="H444" s="17">
        <v>12.2</v>
      </c>
      <c r="I444" s="16">
        <v>545</v>
      </c>
      <c r="J444" s="9">
        <v>72</v>
      </c>
      <c r="K444" s="9">
        <v>5.94</v>
      </c>
      <c r="L444" s="9">
        <v>42</v>
      </c>
      <c r="M444" s="17">
        <v>84</v>
      </c>
      <c r="N444" s="16">
        <v>29</v>
      </c>
      <c r="O444" s="9">
        <v>8</v>
      </c>
      <c r="P444" s="9">
        <v>1.36</v>
      </c>
      <c r="Q444" s="9">
        <v>8</v>
      </c>
      <c r="R444" s="17">
        <v>16</v>
      </c>
      <c r="S444" s="16">
        <v>3.33</v>
      </c>
      <c r="T444" s="9">
        <v>1267</v>
      </c>
      <c r="U444" s="16">
        <v>1.3</v>
      </c>
      <c r="V444" s="9">
        <v>1.52</v>
      </c>
      <c r="W444" s="17">
        <v>0.5</v>
      </c>
    </row>
    <row r="445" spans="1:23" x14ac:dyDescent="0.25">
      <c r="A445" s="9" t="s">
        <v>80</v>
      </c>
      <c r="B445" s="16">
        <v>127</v>
      </c>
      <c r="C445" s="9">
        <v>47.9</v>
      </c>
      <c r="D445" s="9">
        <v>8.1300000000000008</v>
      </c>
      <c r="E445" s="9">
        <v>88.9</v>
      </c>
      <c r="F445" s="9">
        <v>8.3000000000000007</v>
      </c>
      <c r="G445" s="16">
        <v>17</v>
      </c>
      <c r="H445" s="17">
        <v>13.4</v>
      </c>
      <c r="I445" s="16">
        <v>370</v>
      </c>
      <c r="J445" s="9">
        <v>58</v>
      </c>
      <c r="K445" s="9">
        <v>4.6500000000000004</v>
      </c>
      <c r="L445" s="9">
        <v>36</v>
      </c>
      <c r="M445" s="17">
        <v>71</v>
      </c>
      <c r="N445" s="16">
        <v>26</v>
      </c>
      <c r="O445" s="9">
        <v>7</v>
      </c>
      <c r="P445" s="9">
        <v>1.24</v>
      </c>
      <c r="Q445" s="9">
        <v>8</v>
      </c>
      <c r="R445" s="17">
        <v>15</v>
      </c>
      <c r="S445" s="16">
        <v>4.58</v>
      </c>
      <c r="T445" s="9">
        <v>787</v>
      </c>
      <c r="U445" s="16">
        <v>1.21</v>
      </c>
      <c r="V445" s="9">
        <v>1.08</v>
      </c>
      <c r="W445" s="17">
        <v>0.67</v>
      </c>
    </row>
    <row r="446" spans="1:23" x14ac:dyDescent="0.25">
      <c r="A446" s="9" t="s">
        <v>80</v>
      </c>
      <c r="B446" s="16">
        <v>127</v>
      </c>
      <c r="C446" s="9">
        <v>44.5</v>
      </c>
      <c r="D446" s="9">
        <v>8.1300000000000008</v>
      </c>
      <c r="E446" s="9">
        <v>88.9</v>
      </c>
      <c r="F446" s="9">
        <v>4.83</v>
      </c>
      <c r="G446" s="16">
        <v>12.7</v>
      </c>
      <c r="H446" s="17">
        <v>10</v>
      </c>
      <c r="I446" s="16">
        <v>312</v>
      </c>
      <c r="J446" s="9">
        <v>49</v>
      </c>
      <c r="K446" s="9">
        <v>4.95</v>
      </c>
      <c r="L446" s="9">
        <v>29</v>
      </c>
      <c r="M446" s="17">
        <v>58</v>
      </c>
      <c r="N446" s="16">
        <v>20</v>
      </c>
      <c r="O446" s="9">
        <v>6</v>
      </c>
      <c r="P446" s="9">
        <v>1.25</v>
      </c>
      <c r="Q446" s="9">
        <v>6</v>
      </c>
      <c r="R446" s="17">
        <v>13</v>
      </c>
      <c r="S446" s="16">
        <v>2.5</v>
      </c>
      <c r="T446" s="9">
        <v>596</v>
      </c>
      <c r="U446" s="16">
        <v>1.23</v>
      </c>
      <c r="V446" s="9">
        <v>1.4</v>
      </c>
      <c r="W446" s="17">
        <v>0.55000000000000004</v>
      </c>
    </row>
    <row r="447" spans="1:23" x14ac:dyDescent="0.25">
      <c r="A447" s="9" t="s">
        <v>80</v>
      </c>
      <c r="B447" s="16">
        <v>102</v>
      </c>
      <c r="C447" s="9">
        <v>43.7</v>
      </c>
      <c r="D447" s="9">
        <v>7.52</v>
      </c>
      <c r="E447" s="9">
        <v>66.7</v>
      </c>
      <c r="F447" s="9">
        <v>8.15</v>
      </c>
      <c r="G447" s="16">
        <v>13.7</v>
      </c>
      <c r="H447" s="17">
        <v>10.8</v>
      </c>
      <c r="I447" s="16">
        <v>191</v>
      </c>
      <c r="J447" s="9">
        <v>38</v>
      </c>
      <c r="K447" s="9">
        <v>3.73</v>
      </c>
      <c r="L447" s="9">
        <v>23</v>
      </c>
      <c r="M447" s="17">
        <v>46</v>
      </c>
      <c r="N447" s="16">
        <v>18</v>
      </c>
      <c r="O447" s="9">
        <v>6</v>
      </c>
      <c r="P447" s="9">
        <v>1.1399999999999999</v>
      </c>
      <c r="Q447" s="9">
        <v>6</v>
      </c>
      <c r="R447" s="17">
        <v>11</v>
      </c>
      <c r="S447" s="16">
        <v>3.33</v>
      </c>
      <c r="T447" s="9">
        <v>333</v>
      </c>
      <c r="U447" s="16">
        <v>1.17</v>
      </c>
      <c r="V447" s="9">
        <v>0.98</v>
      </c>
      <c r="W447" s="17">
        <v>0.67</v>
      </c>
    </row>
    <row r="448" spans="1:23" x14ac:dyDescent="0.25">
      <c r="A448" s="9" t="s">
        <v>80</v>
      </c>
      <c r="B448" s="16">
        <v>102</v>
      </c>
      <c r="C448" s="9">
        <v>40.200000000000003</v>
      </c>
      <c r="D448" s="9">
        <v>7.52</v>
      </c>
      <c r="E448" s="9">
        <v>66.7</v>
      </c>
      <c r="F448" s="9">
        <v>4.67</v>
      </c>
      <c r="G448" s="16">
        <v>10.3</v>
      </c>
      <c r="H448" s="17">
        <v>8.0399999999999991</v>
      </c>
      <c r="I448" s="16">
        <v>160</v>
      </c>
      <c r="J448" s="9">
        <v>32</v>
      </c>
      <c r="K448" s="9">
        <v>3.96</v>
      </c>
      <c r="L448" s="9">
        <v>19</v>
      </c>
      <c r="M448" s="17">
        <v>37</v>
      </c>
      <c r="N448" s="16">
        <v>13</v>
      </c>
      <c r="O448" s="9">
        <v>5</v>
      </c>
      <c r="P448" s="9">
        <v>1.1399999999999999</v>
      </c>
      <c r="Q448" s="9">
        <v>5</v>
      </c>
      <c r="R448" s="17">
        <v>9</v>
      </c>
      <c r="S448" s="16">
        <v>1.66</v>
      </c>
      <c r="T448" s="9">
        <v>247</v>
      </c>
      <c r="U448" s="16">
        <v>1.1599999999999999</v>
      </c>
      <c r="V448" s="9">
        <v>1.28</v>
      </c>
      <c r="W448" s="17">
        <v>0.61</v>
      </c>
    </row>
    <row r="449" spans="1:23" x14ac:dyDescent="0.25">
      <c r="A449" s="9" t="s">
        <v>80</v>
      </c>
      <c r="B449" s="16">
        <v>76.2</v>
      </c>
      <c r="C449" s="9">
        <v>40.5</v>
      </c>
      <c r="D449" s="9">
        <v>6.93</v>
      </c>
      <c r="E449" s="9">
        <v>41.9</v>
      </c>
      <c r="F449" s="9">
        <v>9.0399999999999991</v>
      </c>
      <c r="G449" s="16">
        <v>11.4</v>
      </c>
      <c r="H449" s="17">
        <v>8.93</v>
      </c>
      <c r="I449" s="16">
        <v>86</v>
      </c>
      <c r="J449" s="9">
        <v>23</v>
      </c>
      <c r="K449" s="9">
        <v>2.74</v>
      </c>
      <c r="L449" s="9">
        <v>14</v>
      </c>
      <c r="M449" s="17">
        <v>28</v>
      </c>
      <c r="N449" s="16">
        <v>13</v>
      </c>
      <c r="O449" s="9">
        <v>4</v>
      </c>
      <c r="P449" s="9">
        <v>1.06</v>
      </c>
      <c r="Q449" s="9">
        <v>4</v>
      </c>
      <c r="R449" s="17">
        <v>9</v>
      </c>
      <c r="S449" s="16">
        <v>2.91</v>
      </c>
      <c r="T449" s="9">
        <v>124</v>
      </c>
      <c r="U449" s="16">
        <v>1.1599999999999999</v>
      </c>
      <c r="V449" s="9">
        <v>0.82</v>
      </c>
      <c r="W449" s="17">
        <v>0.74</v>
      </c>
    </row>
    <row r="450" spans="1:23" x14ac:dyDescent="0.25">
      <c r="A450" s="9" t="s">
        <v>80</v>
      </c>
      <c r="B450" s="16">
        <v>76.2</v>
      </c>
      <c r="C450" s="9">
        <v>38</v>
      </c>
      <c r="D450" s="9">
        <v>6.93</v>
      </c>
      <c r="E450" s="9">
        <v>41.9</v>
      </c>
      <c r="F450" s="9">
        <v>6.55</v>
      </c>
      <c r="G450" s="16">
        <v>9.48</v>
      </c>
      <c r="H450" s="17">
        <v>7.44</v>
      </c>
      <c r="I450" s="16">
        <v>77</v>
      </c>
      <c r="J450" s="9">
        <v>20</v>
      </c>
      <c r="K450" s="9">
        <v>2.84</v>
      </c>
      <c r="L450" s="9">
        <v>12</v>
      </c>
      <c r="M450" s="17">
        <v>25</v>
      </c>
      <c r="N450" s="16">
        <v>10</v>
      </c>
      <c r="O450" s="9">
        <v>4</v>
      </c>
      <c r="P450" s="9">
        <v>1.04</v>
      </c>
      <c r="Q450" s="9">
        <v>4</v>
      </c>
      <c r="R450" s="17">
        <v>8</v>
      </c>
      <c r="S450" s="16">
        <v>1.66</v>
      </c>
      <c r="T450" s="9">
        <v>102</v>
      </c>
      <c r="U450" s="16">
        <v>1.1100000000000001</v>
      </c>
      <c r="V450" s="9">
        <v>1</v>
      </c>
      <c r="W450" s="17">
        <v>0.61</v>
      </c>
    </row>
    <row r="451" spans="1:23" x14ac:dyDescent="0.25">
      <c r="A451" s="9" t="s">
        <v>80</v>
      </c>
      <c r="B451" s="16">
        <v>76.2</v>
      </c>
      <c r="C451" s="9">
        <v>35.799999999999997</v>
      </c>
      <c r="D451" s="9">
        <v>6.93</v>
      </c>
      <c r="E451" s="9">
        <v>41.9</v>
      </c>
      <c r="F451" s="9">
        <v>4.32</v>
      </c>
      <c r="G451" s="16">
        <v>7.81</v>
      </c>
      <c r="H451" s="17">
        <v>6.1</v>
      </c>
      <c r="I451" s="16">
        <v>69</v>
      </c>
      <c r="J451" s="9">
        <v>18</v>
      </c>
      <c r="K451" s="9">
        <v>2.97</v>
      </c>
      <c r="L451" s="9">
        <v>11</v>
      </c>
      <c r="M451" s="17">
        <v>21</v>
      </c>
      <c r="N451" s="16">
        <v>8</v>
      </c>
      <c r="O451" s="9">
        <v>3</v>
      </c>
      <c r="P451" s="9">
        <v>1.03</v>
      </c>
      <c r="Q451" s="9">
        <v>3</v>
      </c>
      <c r="R451" s="17">
        <v>7</v>
      </c>
      <c r="S451" s="16">
        <v>1.25</v>
      </c>
      <c r="T451" s="9">
        <v>83.2</v>
      </c>
      <c r="U451" s="16">
        <v>1.1100000000000001</v>
      </c>
      <c r="V451" s="9">
        <v>1.17</v>
      </c>
      <c r="W451" s="17">
        <v>0.72</v>
      </c>
    </row>
    <row r="452" spans="1:23" x14ac:dyDescent="0.25">
      <c r="A452" s="9" t="s">
        <v>97</v>
      </c>
      <c r="B452" s="16">
        <v>457</v>
      </c>
      <c r="C452" s="9">
        <v>107</v>
      </c>
      <c r="D452" s="9">
        <v>15.9</v>
      </c>
      <c r="E452" s="9">
        <v>386</v>
      </c>
      <c r="F452" s="9">
        <v>17.8</v>
      </c>
      <c r="G452" s="16">
        <v>110.3</v>
      </c>
      <c r="H452" s="17">
        <v>86.3</v>
      </c>
      <c r="I452" s="16">
        <v>28137</v>
      </c>
      <c r="J452" s="9">
        <v>1231</v>
      </c>
      <c r="K452" s="9">
        <v>15.98</v>
      </c>
      <c r="L452" s="9">
        <v>775</v>
      </c>
      <c r="M452" s="17">
        <v>1550</v>
      </c>
      <c r="N452" s="16">
        <v>741</v>
      </c>
      <c r="O452" s="9">
        <v>87.2</v>
      </c>
      <c r="P452" s="9">
        <v>2.59</v>
      </c>
      <c r="Q452" s="9">
        <v>81</v>
      </c>
      <c r="R452" s="17">
        <v>163</v>
      </c>
      <c r="S452" s="16">
        <v>117</v>
      </c>
      <c r="T452" s="9">
        <v>287333</v>
      </c>
      <c r="U452" s="16">
        <v>2.19</v>
      </c>
      <c r="V452" s="9">
        <v>1.77</v>
      </c>
      <c r="W452" s="17">
        <v>1.2</v>
      </c>
    </row>
    <row r="453" spans="1:23" x14ac:dyDescent="0.25">
      <c r="A453" s="9" t="s">
        <v>97</v>
      </c>
      <c r="B453" s="16">
        <v>457</v>
      </c>
      <c r="C453" s="9">
        <v>104</v>
      </c>
      <c r="D453" s="9">
        <v>15.9</v>
      </c>
      <c r="E453" s="9">
        <v>386</v>
      </c>
      <c r="F453" s="9">
        <v>15.2</v>
      </c>
      <c r="G453" s="16">
        <v>98.71</v>
      </c>
      <c r="H453" s="17">
        <v>77.2</v>
      </c>
      <c r="I453" s="16">
        <v>26098</v>
      </c>
      <c r="J453" s="9">
        <v>1142</v>
      </c>
      <c r="K453" s="9">
        <v>16.28</v>
      </c>
      <c r="L453" s="9">
        <v>709</v>
      </c>
      <c r="M453" s="17">
        <v>1417</v>
      </c>
      <c r="N453" s="16">
        <v>683</v>
      </c>
      <c r="O453" s="9">
        <v>83.1</v>
      </c>
      <c r="P453" s="9">
        <v>2.64</v>
      </c>
      <c r="Q453" s="9">
        <v>75</v>
      </c>
      <c r="R453" s="17">
        <v>150</v>
      </c>
      <c r="S453" s="16">
        <v>84.5</v>
      </c>
      <c r="T453" s="9">
        <v>264776</v>
      </c>
      <c r="U453" s="16">
        <v>2.1800000000000002</v>
      </c>
      <c r="V453" s="9">
        <v>2.02</v>
      </c>
      <c r="W453" s="17">
        <v>1.07</v>
      </c>
    </row>
    <row r="454" spans="1:23" x14ac:dyDescent="0.25">
      <c r="A454" s="9" t="s">
        <v>97</v>
      </c>
      <c r="B454" s="16">
        <v>457</v>
      </c>
      <c r="C454" s="9">
        <v>102</v>
      </c>
      <c r="D454" s="9">
        <v>15.9</v>
      </c>
      <c r="E454" s="9">
        <v>386</v>
      </c>
      <c r="F454" s="9">
        <v>12.7</v>
      </c>
      <c r="G454" s="16">
        <v>87.1</v>
      </c>
      <c r="H454" s="17">
        <v>68.2</v>
      </c>
      <c r="I454" s="16">
        <v>24058</v>
      </c>
      <c r="J454" s="9">
        <v>1054</v>
      </c>
      <c r="K454" s="9">
        <v>16.66</v>
      </c>
      <c r="L454" s="9">
        <v>642</v>
      </c>
      <c r="M454" s="17">
        <v>1285</v>
      </c>
      <c r="N454" s="16">
        <v>629</v>
      </c>
      <c r="O454" s="9">
        <v>79</v>
      </c>
      <c r="P454" s="9">
        <v>2.69</v>
      </c>
      <c r="Q454" s="9">
        <v>69</v>
      </c>
      <c r="R454" s="17">
        <v>138</v>
      </c>
      <c r="S454" s="16">
        <v>60.4</v>
      </c>
      <c r="T454" s="9">
        <v>240877</v>
      </c>
      <c r="U454" s="16">
        <v>2.2000000000000002</v>
      </c>
      <c r="V454" s="9">
        <v>2.31</v>
      </c>
      <c r="W454" s="17">
        <v>0.94</v>
      </c>
    </row>
    <row r="455" spans="1:23" x14ac:dyDescent="0.25">
      <c r="A455" s="9" t="s">
        <v>97</v>
      </c>
      <c r="B455" s="16">
        <v>457</v>
      </c>
      <c r="C455" s="9">
        <v>100</v>
      </c>
      <c r="D455" s="9">
        <v>15.9</v>
      </c>
      <c r="E455" s="9">
        <v>386</v>
      </c>
      <c r="F455" s="9">
        <v>11.4</v>
      </c>
      <c r="G455" s="16">
        <v>81.290000000000006</v>
      </c>
      <c r="H455" s="17">
        <v>63.5</v>
      </c>
      <c r="I455" s="16">
        <v>23059</v>
      </c>
      <c r="J455" s="9">
        <v>1009</v>
      </c>
      <c r="K455" s="9">
        <v>16.87</v>
      </c>
      <c r="L455" s="9">
        <v>610</v>
      </c>
      <c r="M455" s="17">
        <v>1219</v>
      </c>
      <c r="N455" s="16">
        <v>599</v>
      </c>
      <c r="O455" s="9">
        <v>76.900000000000006</v>
      </c>
      <c r="P455" s="9">
        <v>2.72</v>
      </c>
      <c r="Q455" s="9">
        <v>66</v>
      </c>
      <c r="R455" s="17">
        <v>133</v>
      </c>
      <c r="S455" s="16">
        <v>51.2</v>
      </c>
      <c r="T455" s="9">
        <v>228793</v>
      </c>
      <c r="U455" s="16">
        <v>2.23</v>
      </c>
      <c r="V455" s="9">
        <v>2.46</v>
      </c>
      <c r="W455" s="17">
        <v>0.88</v>
      </c>
    </row>
    <row r="456" spans="1:23" x14ac:dyDescent="0.25">
      <c r="A456" s="9" t="s">
        <v>97</v>
      </c>
      <c r="B456" s="16">
        <v>330</v>
      </c>
      <c r="C456" s="9">
        <v>112</v>
      </c>
      <c r="D456" s="9">
        <v>15.5</v>
      </c>
      <c r="E456" s="9">
        <v>260</v>
      </c>
      <c r="F456" s="9">
        <v>20</v>
      </c>
      <c r="G456" s="16">
        <v>94.84</v>
      </c>
      <c r="H456" s="17">
        <v>74.400000000000006</v>
      </c>
      <c r="I456" s="16">
        <v>13070</v>
      </c>
      <c r="J456" s="9">
        <v>793</v>
      </c>
      <c r="K456" s="9">
        <v>11.73</v>
      </c>
      <c r="L456" s="9">
        <v>496</v>
      </c>
      <c r="M456" s="17">
        <v>991</v>
      </c>
      <c r="N456" s="16">
        <v>687</v>
      </c>
      <c r="O456" s="9">
        <v>78.5</v>
      </c>
      <c r="P456" s="9">
        <v>2.69</v>
      </c>
      <c r="Q456" s="9">
        <v>83</v>
      </c>
      <c r="R456" s="17">
        <v>166</v>
      </c>
      <c r="S456" s="16">
        <v>124</v>
      </c>
      <c r="T456" s="9">
        <v>149843</v>
      </c>
      <c r="U456" s="16">
        <v>2.4700000000000002</v>
      </c>
      <c r="V456" s="9">
        <v>2.0699999999999998</v>
      </c>
      <c r="W456" s="17">
        <v>1.43</v>
      </c>
    </row>
    <row r="457" spans="1:23" x14ac:dyDescent="0.25">
      <c r="A457" s="9" t="s">
        <v>97</v>
      </c>
      <c r="B457" s="16">
        <v>330</v>
      </c>
      <c r="C457" s="9">
        <v>106</v>
      </c>
      <c r="D457" s="9">
        <v>15.5</v>
      </c>
      <c r="E457" s="9">
        <v>260</v>
      </c>
      <c r="F457" s="9">
        <v>14.2</v>
      </c>
      <c r="G457" s="16">
        <v>76.13</v>
      </c>
      <c r="H457" s="17">
        <v>59.5</v>
      </c>
      <c r="I457" s="16">
        <v>11363</v>
      </c>
      <c r="J457" s="9">
        <v>688</v>
      </c>
      <c r="K457" s="9">
        <v>12.24</v>
      </c>
      <c r="L457" s="9">
        <v>417</v>
      </c>
      <c r="M457" s="17">
        <v>834</v>
      </c>
      <c r="N457" s="16">
        <v>570</v>
      </c>
      <c r="O457" s="9">
        <v>69.8</v>
      </c>
      <c r="P457" s="9">
        <v>2.74</v>
      </c>
      <c r="Q457" s="9">
        <v>70</v>
      </c>
      <c r="R457" s="17">
        <v>140</v>
      </c>
      <c r="S457" s="16">
        <v>65.3</v>
      </c>
      <c r="T457" s="9">
        <v>124332</v>
      </c>
      <c r="U457" s="16">
        <v>2.4500000000000002</v>
      </c>
      <c r="V457" s="9">
        <v>2.62</v>
      </c>
      <c r="W457" s="17">
        <v>1.1399999999999999</v>
      </c>
    </row>
    <row r="458" spans="1:23" x14ac:dyDescent="0.25">
      <c r="A458" s="9" t="s">
        <v>97</v>
      </c>
      <c r="B458" s="16">
        <v>330</v>
      </c>
      <c r="C458" s="9">
        <v>103</v>
      </c>
      <c r="D458" s="9">
        <v>15.5</v>
      </c>
      <c r="E458" s="9">
        <v>260</v>
      </c>
      <c r="F458" s="9">
        <v>11.4</v>
      </c>
      <c r="G458" s="16">
        <v>66.45</v>
      </c>
      <c r="H458" s="17">
        <v>52.1</v>
      </c>
      <c r="I458" s="16">
        <v>10489</v>
      </c>
      <c r="J458" s="9">
        <v>636</v>
      </c>
      <c r="K458" s="9">
        <v>12.57</v>
      </c>
      <c r="L458" s="9">
        <v>379</v>
      </c>
      <c r="M458" s="17">
        <v>757</v>
      </c>
      <c r="N458" s="16">
        <v>512</v>
      </c>
      <c r="O458" s="9">
        <v>65.400000000000006</v>
      </c>
      <c r="P458" s="9">
        <v>2.79</v>
      </c>
      <c r="Q458" s="9">
        <v>65</v>
      </c>
      <c r="R458" s="17">
        <v>130</v>
      </c>
      <c r="S458" s="16">
        <v>47.5</v>
      </c>
      <c r="T458" s="9">
        <v>110905</v>
      </c>
      <c r="U458" s="16">
        <v>2.4900000000000002</v>
      </c>
      <c r="V458" s="9">
        <v>2.95</v>
      </c>
      <c r="W458" s="17">
        <v>1</v>
      </c>
    </row>
    <row r="459" spans="1:23" x14ac:dyDescent="0.25">
      <c r="A459" s="9" t="s">
        <v>97</v>
      </c>
      <c r="B459" s="16">
        <v>330</v>
      </c>
      <c r="C459" s="9">
        <v>102</v>
      </c>
      <c r="D459" s="9">
        <v>15.5</v>
      </c>
      <c r="E459" s="9">
        <v>260</v>
      </c>
      <c r="F459" s="9">
        <v>9.5299999999999994</v>
      </c>
      <c r="G459" s="16">
        <v>60.32</v>
      </c>
      <c r="H459" s="17">
        <v>47.3</v>
      </c>
      <c r="I459" s="16">
        <v>9948</v>
      </c>
      <c r="J459" s="9">
        <v>603</v>
      </c>
      <c r="K459" s="9">
        <v>12.85</v>
      </c>
      <c r="L459" s="9">
        <v>353</v>
      </c>
      <c r="M459" s="17">
        <v>706</v>
      </c>
      <c r="N459" s="16">
        <v>475</v>
      </c>
      <c r="O459" s="9">
        <v>62.4</v>
      </c>
      <c r="P459" s="9">
        <v>2.82</v>
      </c>
      <c r="Q459" s="9">
        <v>62</v>
      </c>
      <c r="R459" s="17">
        <v>125</v>
      </c>
      <c r="S459" s="16">
        <v>39.1</v>
      </c>
      <c r="T459" s="9">
        <v>102044</v>
      </c>
      <c r="U459" s="16">
        <v>2.54</v>
      </c>
      <c r="V459" s="9">
        <v>3.15</v>
      </c>
      <c r="W459" s="17">
        <v>0.91</v>
      </c>
    </row>
    <row r="460" spans="1:23" x14ac:dyDescent="0.25">
      <c r="A460" s="9" t="s">
        <v>97</v>
      </c>
      <c r="B460" s="16">
        <v>305</v>
      </c>
      <c r="C460" s="9">
        <v>105</v>
      </c>
      <c r="D460" s="9">
        <v>17.8</v>
      </c>
      <c r="E460" s="9">
        <v>238</v>
      </c>
      <c r="F460" s="9">
        <v>21.2</v>
      </c>
      <c r="G460" s="16">
        <v>94.84</v>
      </c>
      <c r="H460" s="17">
        <v>74.400000000000006</v>
      </c>
      <c r="I460" s="16">
        <v>11197</v>
      </c>
      <c r="J460" s="9">
        <v>736</v>
      </c>
      <c r="K460" s="9">
        <v>10.87</v>
      </c>
      <c r="L460" s="9">
        <v>460</v>
      </c>
      <c r="M460" s="17">
        <v>919</v>
      </c>
      <c r="N460" s="16">
        <v>724</v>
      </c>
      <c r="O460" s="9">
        <v>92.6</v>
      </c>
      <c r="P460" s="9">
        <v>2.77</v>
      </c>
      <c r="Q460" s="9">
        <v>84</v>
      </c>
      <c r="R460" s="17">
        <v>167</v>
      </c>
      <c r="S460" s="16">
        <v>135</v>
      </c>
      <c r="T460" s="9">
        <v>110368</v>
      </c>
      <c r="U460" s="16">
        <v>2.67</v>
      </c>
      <c r="V460" s="9">
        <v>1.88</v>
      </c>
      <c r="W460" s="17">
        <v>1.55</v>
      </c>
    </row>
    <row r="461" spans="1:23" x14ac:dyDescent="0.25">
      <c r="A461" s="9" t="s">
        <v>97</v>
      </c>
      <c r="B461" s="16">
        <v>305</v>
      </c>
      <c r="C461" s="9">
        <v>102</v>
      </c>
      <c r="D461" s="9">
        <v>17.8</v>
      </c>
      <c r="E461" s="9">
        <v>238</v>
      </c>
      <c r="F461" s="9">
        <v>18.100000000000001</v>
      </c>
      <c r="G461" s="16">
        <v>85.16</v>
      </c>
      <c r="H461" s="17">
        <v>67</v>
      </c>
      <c r="I461" s="16">
        <v>10489</v>
      </c>
      <c r="J461" s="9">
        <v>688</v>
      </c>
      <c r="K461" s="9">
        <v>11.07</v>
      </c>
      <c r="L461" s="9">
        <v>424</v>
      </c>
      <c r="M461" s="17">
        <v>847</v>
      </c>
      <c r="N461" s="16">
        <v>658</v>
      </c>
      <c r="O461" s="9">
        <v>87.3</v>
      </c>
      <c r="P461" s="9">
        <v>2.77</v>
      </c>
      <c r="Q461" s="9">
        <v>77</v>
      </c>
      <c r="R461" s="17">
        <v>153</v>
      </c>
      <c r="S461" s="16">
        <v>97.8</v>
      </c>
      <c r="T461" s="9">
        <v>100432</v>
      </c>
      <c r="U461" s="16">
        <v>2.64</v>
      </c>
      <c r="V461" s="9">
        <v>2.14</v>
      </c>
      <c r="W461" s="17">
        <v>1.39</v>
      </c>
    </row>
    <row r="462" spans="1:23" x14ac:dyDescent="0.25">
      <c r="A462" s="9" t="s">
        <v>97</v>
      </c>
      <c r="B462" s="16">
        <v>305</v>
      </c>
      <c r="C462" s="9">
        <v>98.8</v>
      </c>
      <c r="D462" s="9">
        <v>17.8</v>
      </c>
      <c r="E462" s="9">
        <v>238</v>
      </c>
      <c r="F462" s="9">
        <v>15</v>
      </c>
      <c r="G462" s="16">
        <v>76.13</v>
      </c>
      <c r="H462" s="17">
        <v>59.5</v>
      </c>
      <c r="I462" s="16">
        <v>9740</v>
      </c>
      <c r="J462" s="9">
        <v>639</v>
      </c>
      <c r="K462" s="9">
        <v>11.33</v>
      </c>
      <c r="L462" s="9">
        <v>388</v>
      </c>
      <c r="M462" s="17">
        <v>775</v>
      </c>
      <c r="N462" s="16">
        <v>595</v>
      </c>
      <c r="O462" s="9">
        <v>81.900000000000006</v>
      </c>
      <c r="P462" s="9">
        <v>2.79</v>
      </c>
      <c r="Q462" s="9">
        <v>70</v>
      </c>
      <c r="R462" s="17">
        <v>141</v>
      </c>
      <c r="S462" s="16">
        <v>70.8</v>
      </c>
      <c r="T462" s="9">
        <v>90228</v>
      </c>
      <c r="U462" s="16">
        <v>2.64</v>
      </c>
      <c r="V462" s="9">
        <v>2.42</v>
      </c>
      <c r="W462" s="17">
        <v>1.24</v>
      </c>
    </row>
    <row r="463" spans="1:23" x14ac:dyDescent="0.25">
      <c r="A463" s="9" t="s">
        <v>97</v>
      </c>
      <c r="B463" s="16">
        <v>305</v>
      </c>
      <c r="C463" s="9">
        <v>95.7</v>
      </c>
      <c r="D463" s="9">
        <v>17.8</v>
      </c>
      <c r="E463" s="9">
        <v>238</v>
      </c>
      <c r="F463" s="9">
        <v>11.9</v>
      </c>
      <c r="G463" s="16">
        <v>66.45</v>
      </c>
      <c r="H463" s="17">
        <v>52.1</v>
      </c>
      <c r="I463" s="16">
        <v>8991</v>
      </c>
      <c r="J463" s="9">
        <v>592</v>
      </c>
      <c r="K463" s="9">
        <v>11.66</v>
      </c>
      <c r="L463" s="9">
        <v>351</v>
      </c>
      <c r="M463" s="17">
        <v>701</v>
      </c>
      <c r="N463" s="16">
        <v>529</v>
      </c>
      <c r="O463" s="9">
        <v>76.5</v>
      </c>
      <c r="P463" s="9">
        <v>2.82</v>
      </c>
      <c r="Q463" s="9">
        <v>65</v>
      </c>
      <c r="R463" s="17">
        <v>130</v>
      </c>
      <c r="S463" s="16">
        <v>52</v>
      </c>
      <c r="T463" s="9">
        <v>79755</v>
      </c>
      <c r="U463" s="16">
        <v>2.67</v>
      </c>
      <c r="V463" s="9">
        <v>2.72</v>
      </c>
      <c r="W463" s="17">
        <v>1.08</v>
      </c>
    </row>
    <row r="464" spans="1:23" x14ac:dyDescent="0.25">
      <c r="A464" s="9" t="s">
        <v>97</v>
      </c>
      <c r="B464" s="16">
        <v>305</v>
      </c>
      <c r="C464" s="9">
        <v>93.2</v>
      </c>
      <c r="D464" s="9">
        <v>17.8</v>
      </c>
      <c r="E464" s="9">
        <v>238</v>
      </c>
      <c r="F464" s="9">
        <v>9.4</v>
      </c>
      <c r="G464" s="16">
        <v>58.84</v>
      </c>
      <c r="H464" s="17">
        <v>46.1</v>
      </c>
      <c r="I464" s="16">
        <v>8449</v>
      </c>
      <c r="J464" s="9">
        <v>554</v>
      </c>
      <c r="K464" s="9">
        <v>11.96</v>
      </c>
      <c r="L464" s="9">
        <v>322</v>
      </c>
      <c r="M464" s="17">
        <v>644</v>
      </c>
      <c r="N464" s="16">
        <v>470</v>
      </c>
      <c r="O464" s="9">
        <v>71.900000000000006</v>
      </c>
      <c r="P464" s="9">
        <v>2.84</v>
      </c>
      <c r="Q464" s="9">
        <v>61</v>
      </c>
      <c r="R464" s="17">
        <v>122</v>
      </c>
      <c r="S464" s="16">
        <v>42</v>
      </c>
      <c r="T464" s="9">
        <v>71968</v>
      </c>
      <c r="U464" s="16">
        <v>2.74</v>
      </c>
      <c r="V464" s="9">
        <v>3</v>
      </c>
      <c r="W464" s="17">
        <v>1.06</v>
      </c>
    </row>
    <row r="465" spans="1:37" x14ac:dyDescent="0.25">
      <c r="A465" s="9" t="s">
        <v>97</v>
      </c>
      <c r="B465" s="16">
        <v>305</v>
      </c>
      <c r="C465" s="9">
        <v>38.1</v>
      </c>
      <c r="D465" s="9">
        <v>7.8</v>
      </c>
      <c r="E465" s="9">
        <v>270</v>
      </c>
      <c r="F465" s="9">
        <v>4.83</v>
      </c>
      <c r="G465" s="16">
        <v>20</v>
      </c>
      <c r="H465" s="17">
        <v>15.8</v>
      </c>
      <c r="I465" s="16">
        <v>2306</v>
      </c>
      <c r="J465" s="9">
        <v>151</v>
      </c>
      <c r="K465" s="9">
        <v>10.72</v>
      </c>
      <c r="L465" s="9">
        <v>95</v>
      </c>
      <c r="M465" s="17">
        <v>190</v>
      </c>
      <c r="N465" s="16">
        <v>15.9</v>
      </c>
      <c r="O465" s="9">
        <v>5.08</v>
      </c>
      <c r="P465" s="9">
        <v>0.89</v>
      </c>
      <c r="Q465" s="9">
        <v>5.2</v>
      </c>
      <c r="R465" s="17">
        <v>10.5</v>
      </c>
      <c r="S465" s="16">
        <v>2.5</v>
      </c>
      <c r="T465" s="9">
        <v>3142</v>
      </c>
      <c r="U465" s="16">
        <v>0.68</v>
      </c>
      <c r="V465" s="9">
        <v>0.72</v>
      </c>
      <c r="W465" s="17">
        <v>0.33</v>
      </c>
    </row>
    <row r="466" spans="1:37" x14ac:dyDescent="0.25">
      <c r="A466" s="9" t="s">
        <v>97</v>
      </c>
      <c r="B466" s="16">
        <v>254</v>
      </c>
      <c r="C466" s="9">
        <v>110</v>
      </c>
      <c r="D466" s="9">
        <v>14.6</v>
      </c>
      <c r="E466" s="9">
        <v>191</v>
      </c>
      <c r="F466" s="9">
        <v>20.2</v>
      </c>
      <c r="G466" s="16">
        <v>78.06</v>
      </c>
      <c r="H466" s="17">
        <v>61.2</v>
      </c>
      <c r="I466" s="16">
        <v>6576</v>
      </c>
      <c r="J466" s="9">
        <v>516</v>
      </c>
      <c r="K466" s="9">
        <v>9.17</v>
      </c>
      <c r="L466" s="9">
        <v>319</v>
      </c>
      <c r="M466" s="17">
        <v>637</v>
      </c>
      <c r="N466" s="16">
        <v>658</v>
      </c>
      <c r="O466" s="9">
        <v>80</v>
      </c>
      <c r="P466" s="9">
        <v>2.9</v>
      </c>
      <c r="Q466" s="9">
        <v>71</v>
      </c>
      <c r="R466" s="17">
        <v>143</v>
      </c>
      <c r="S466" s="16">
        <v>94.5</v>
      </c>
      <c r="T466" s="9">
        <v>72505</v>
      </c>
      <c r="U466" s="16">
        <v>2.77</v>
      </c>
      <c r="V466" s="9">
        <v>2.19</v>
      </c>
      <c r="W466" s="17">
        <v>1.53</v>
      </c>
    </row>
    <row r="467" spans="1:37" x14ac:dyDescent="0.25">
      <c r="A467" s="9" t="s">
        <v>97</v>
      </c>
      <c r="B467" s="16">
        <v>254</v>
      </c>
      <c r="C467" s="9">
        <v>104</v>
      </c>
      <c r="D467" s="9">
        <v>14.6</v>
      </c>
      <c r="E467" s="9">
        <v>191</v>
      </c>
      <c r="F467" s="9">
        <v>14.6</v>
      </c>
      <c r="G467" s="16">
        <v>63.68</v>
      </c>
      <c r="H467" s="17">
        <v>50</v>
      </c>
      <c r="I467" s="16">
        <v>5786</v>
      </c>
      <c r="J467" s="9">
        <v>456</v>
      </c>
      <c r="K467" s="9">
        <v>9.5299999999999994</v>
      </c>
      <c r="L467" s="9">
        <v>274</v>
      </c>
      <c r="M467" s="17">
        <v>547</v>
      </c>
      <c r="N467" s="16">
        <v>549</v>
      </c>
      <c r="O467" s="9">
        <v>71.8</v>
      </c>
      <c r="P467" s="9">
        <v>2.95</v>
      </c>
      <c r="Q467" s="9">
        <v>62</v>
      </c>
      <c r="R467" s="17">
        <v>123</v>
      </c>
      <c r="S467" s="16">
        <v>50.4</v>
      </c>
      <c r="T467" s="9">
        <v>60152</v>
      </c>
      <c r="U467" s="16">
        <v>2.74</v>
      </c>
      <c r="V467" s="9">
        <v>2.69</v>
      </c>
      <c r="W467" s="17">
        <v>1.24</v>
      </c>
    </row>
    <row r="468" spans="1:37" x14ac:dyDescent="0.25">
      <c r="A468" s="9" t="s">
        <v>97</v>
      </c>
      <c r="B468" s="16">
        <v>254</v>
      </c>
      <c r="C468" s="9">
        <v>100</v>
      </c>
      <c r="D468" s="9">
        <v>14.6</v>
      </c>
      <c r="E468" s="9">
        <v>191</v>
      </c>
      <c r="F468" s="9">
        <v>10.8</v>
      </c>
      <c r="G468" s="16">
        <v>54</v>
      </c>
      <c r="H468" s="17">
        <v>42.4</v>
      </c>
      <c r="I468" s="16">
        <v>5286</v>
      </c>
      <c r="J468" s="9">
        <v>415</v>
      </c>
      <c r="K468" s="9">
        <v>9.8800000000000008</v>
      </c>
      <c r="L468" s="9">
        <v>243</v>
      </c>
      <c r="M468" s="17">
        <v>485</v>
      </c>
      <c r="N468" s="16">
        <v>475</v>
      </c>
      <c r="O468" s="9">
        <v>65.900000000000006</v>
      </c>
      <c r="P468" s="9">
        <v>2.97</v>
      </c>
      <c r="Q468" s="9">
        <v>56</v>
      </c>
      <c r="R468" s="17">
        <v>112</v>
      </c>
      <c r="S468" s="16">
        <v>32.9</v>
      </c>
      <c r="T468" s="9">
        <v>52096</v>
      </c>
      <c r="U468" s="16">
        <v>2.84</v>
      </c>
      <c r="V468" s="9">
        <v>3.07</v>
      </c>
      <c r="W468" s="17">
        <v>1.05</v>
      </c>
    </row>
    <row r="469" spans="1:37" x14ac:dyDescent="0.25">
      <c r="A469" s="19" t="s">
        <v>113</v>
      </c>
      <c r="B469" s="20">
        <v>15.9</v>
      </c>
      <c r="C469" s="20">
        <v>15.9</v>
      </c>
      <c r="D469" s="21">
        <v>3.2</v>
      </c>
      <c r="F469" s="21">
        <v>3.2</v>
      </c>
      <c r="G469" s="21">
        <v>0.94</v>
      </c>
      <c r="H469" s="21">
        <v>0.74</v>
      </c>
      <c r="S469" s="22">
        <v>3.1E-2</v>
      </c>
      <c r="T469" s="22">
        <v>5.0000000000000001E-3</v>
      </c>
      <c r="X469" s="21">
        <v>4</v>
      </c>
      <c r="Y469" s="21">
        <v>2</v>
      </c>
      <c r="Z469" s="21">
        <v>5</v>
      </c>
      <c r="AA469" s="21">
        <v>0.5</v>
      </c>
      <c r="AB469" s="21">
        <v>1.1299999999999999</v>
      </c>
      <c r="AC469" s="21">
        <v>0.71</v>
      </c>
      <c r="AD469" s="21">
        <v>0.2</v>
      </c>
      <c r="AE469" s="21">
        <v>0.18</v>
      </c>
      <c r="AF469" s="21">
        <v>0.46</v>
      </c>
      <c r="AG469" s="22">
        <v>0.08</v>
      </c>
      <c r="AH469" s="21">
        <v>0.12</v>
      </c>
      <c r="AI469" s="21">
        <v>0.3</v>
      </c>
      <c r="AJ469" s="21">
        <v>0.31</v>
      </c>
      <c r="AK469" s="21">
        <v>0.56999999999999995</v>
      </c>
    </row>
    <row r="470" spans="1:37" x14ac:dyDescent="0.25">
      <c r="A470" s="19" t="s">
        <v>113</v>
      </c>
      <c r="B470" s="20">
        <v>19</v>
      </c>
      <c r="C470" s="20">
        <v>19</v>
      </c>
      <c r="D470" s="21">
        <v>3.2</v>
      </c>
      <c r="F470" s="21">
        <v>3.2</v>
      </c>
      <c r="G470" s="21">
        <v>1.1299999999999999</v>
      </c>
      <c r="H470" s="21">
        <v>0.89</v>
      </c>
      <c r="S470" s="22">
        <v>3.7999999999999999E-2</v>
      </c>
      <c r="T470" s="22">
        <v>0.01</v>
      </c>
      <c r="X470" s="21">
        <v>4</v>
      </c>
      <c r="Y470" s="21">
        <v>2</v>
      </c>
      <c r="Z470" s="21">
        <v>5.9</v>
      </c>
      <c r="AA470" s="21">
        <v>0.57999999999999996</v>
      </c>
      <c r="AB470" s="21">
        <v>1.34</v>
      </c>
      <c r="AC470" s="21">
        <v>0.82</v>
      </c>
      <c r="AD470" s="21">
        <v>0.35</v>
      </c>
      <c r="AE470" s="21">
        <v>0.26</v>
      </c>
      <c r="AF470" s="21">
        <v>0.55000000000000004</v>
      </c>
      <c r="AG470" s="21">
        <v>0.14000000000000001</v>
      </c>
      <c r="AH470" s="21">
        <v>0.18</v>
      </c>
      <c r="AI470" s="21">
        <v>0.36</v>
      </c>
      <c r="AJ470" s="21">
        <v>0.55000000000000004</v>
      </c>
      <c r="AK470" s="21">
        <v>0.7</v>
      </c>
    </row>
    <row r="471" spans="1:37" x14ac:dyDescent="0.25">
      <c r="A471" s="19" t="s">
        <v>113</v>
      </c>
      <c r="B471" s="20">
        <v>22.2</v>
      </c>
      <c r="C471" s="20">
        <v>22.2</v>
      </c>
      <c r="D471" s="21">
        <v>3.2</v>
      </c>
      <c r="F471" s="21">
        <v>3.2</v>
      </c>
      <c r="G471" s="21">
        <v>1.32</v>
      </c>
      <c r="H471" s="21">
        <v>1.04</v>
      </c>
      <c r="S471" s="22">
        <v>4.4999999999999998E-2</v>
      </c>
      <c r="T471" s="22">
        <v>1.6E-2</v>
      </c>
      <c r="X471" s="21">
        <v>4</v>
      </c>
      <c r="Y471" s="21">
        <v>2</v>
      </c>
      <c r="Z471" s="21">
        <v>6.9</v>
      </c>
      <c r="AA471" s="21">
        <v>0.65</v>
      </c>
      <c r="AB471" s="21">
        <v>1.56</v>
      </c>
      <c r="AC471" s="21">
        <v>0.92</v>
      </c>
      <c r="AD471" s="21">
        <v>0.56000000000000005</v>
      </c>
      <c r="AE471" s="21">
        <v>0.36</v>
      </c>
      <c r="AF471" s="21">
        <v>0.65</v>
      </c>
      <c r="AG471" s="21">
        <v>0.23</v>
      </c>
      <c r="AH471" s="21">
        <v>0.25</v>
      </c>
      <c r="AI471" s="21">
        <v>0.42</v>
      </c>
      <c r="AJ471" s="21">
        <v>0.89</v>
      </c>
      <c r="AK471" s="21">
        <v>0.82</v>
      </c>
    </row>
    <row r="472" spans="1:37" x14ac:dyDescent="0.25">
      <c r="A472" s="19" t="s">
        <v>113</v>
      </c>
      <c r="B472" s="20">
        <v>25.4</v>
      </c>
      <c r="C472" s="20">
        <v>25.4</v>
      </c>
      <c r="D472" s="21">
        <v>3.2</v>
      </c>
      <c r="F472" s="21">
        <v>3.2</v>
      </c>
      <c r="G472" s="21">
        <v>1.51</v>
      </c>
      <c r="H472" s="21">
        <v>1.19</v>
      </c>
      <c r="S472" s="22">
        <v>6.2E-2</v>
      </c>
      <c r="T472" s="22">
        <v>2.5000000000000001E-2</v>
      </c>
      <c r="X472" s="21">
        <v>4</v>
      </c>
      <c r="Y472" s="21">
        <v>2</v>
      </c>
      <c r="Z472" s="21">
        <v>7.9</v>
      </c>
      <c r="AA472" s="21">
        <v>0.73</v>
      </c>
      <c r="AB472" s="21">
        <v>1.77</v>
      </c>
      <c r="AC472" s="21">
        <v>1.03</v>
      </c>
      <c r="AD472" s="21">
        <v>0.84</v>
      </c>
      <c r="AE472" s="21">
        <v>0.48</v>
      </c>
      <c r="AF472" s="21">
        <v>0.75</v>
      </c>
      <c r="AG472" s="21">
        <v>0.34</v>
      </c>
      <c r="AH472" s="21">
        <v>0.34</v>
      </c>
      <c r="AI472" s="21">
        <v>0.48</v>
      </c>
      <c r="AJ472" s="21">
        <v>1.34</v>
      </c>
      <c r="AK472" s="21">
        <v>0.94</v>
      </c>
    </row>
    <row r="473" spans="1:37" x14ac:dyDescent="0.25">
      <c r="A473" s="19" t="s">
        <v>113</v>
      </c>
      <c r="B473" s="20">
        <v>25.4</v>
      </c>
      <c r="C473" s="20">
        <v>25.4</v>
      </c>
      <c r="D473" s="21">
        <v>4.8</v>
      </c>
      <c r="F473" s="21">
        <v>4.8</v>
      </c>
      <c r="G473" s="21">
        <v>2.19</v>
      </c>
      <c r="H473" s="21">
        <v>1.72</v>
      </c>
      <c r="S473" s="21">
        <v>0.17</v>
      </c>
      <c r="T473" s="22">
        <v>7.4999999999999997E-2</v>
      </c>
      <c r="X473" s="21">
        <v>4</v>
      </c>
      <c r="Y473" s="21">
        <v>2</v>
      </c>
      <c r="Z473" s="21">
        <v>5.3</v>
      </c>
      <c r="AA473" s="21">
        <v>0.79</v>
      </c>
      <c r="AB473" s="21">
        <v>1.77</v>
      </c>
      <c r="AC473" s="21">
        <v>1.1100000000000001</v>
      </c>
      <c r="AD473" s="21">
        <v>1.17</v>
      </c>
      <c r="AE473" s="21">
        <v>0.68</v>
      </c>
      <c r="AF473" s="21">
        <v>0.73</v>
      </c>
      <c r="AG473" s="21">
        <v>0.5</v>
      </c>
      <c r="AH473" s="21">
        <v>0.45</v>
      </c>
      <c r="AI473" s="21">
        <v>0.48</v>
      </c>
      <c r="AJ473" s="21">
        <v>1.84</v>
      </c>
      <c r="AK473" s="21">
        <v>0.92</v>
      </c>
    </row>
    <row r="474" spans="1:37" x14ac:dyDescent="0.25">
      <c r="A474" s="19" t="s">
        <v>113</v>
      </c>
      <c r="B474" s="20">
        <v>25.4</v>
      </c>
      <c r="C474" s="20">
        <v>25.4</v>
      </c>
      <c r="D474" s="21">
        <v>6.4</v>
      </c>
      <c r="F474" s="21">
        <v>6.4</v>
      </c>
      <c r="G474" s="21">
        <v>2.81</v>
      </c>
      <c r="H474" s="21">
        <v>2.2000000000000002</v>
      </c>
      <c r="S474" s="21">
        <v>0.38800000000000001</v>
      </c>
      <c r="T474" s="21">
        <v>0.159</v>
      </c>
      <c r="X474" s="21">
        <v>4</v>
      </c>
      <c r="Y474" s="21">
        <v>2</v>
      </c>
      <c r="Z474" s="21">
        <v>4</v>
      </c>
      <c r="AA474" s="21">
        <v>0.85</v>
      </c>
      <c r="AB474" s="21">
        <v>1.77</v>
      </c>
      <c r="AC474" s="21">
        <v>1.19</v>
      </c>
      <c r="AD474" s="21">
        <v>1.44</v>
      </c>
      <c r="AE474" s="21">
        <v>0.87</v>
      </c>
      <c r="AF474" s="21">
        <v>0.72</v>
      </c>
      <c r="AG474" s="21">
        <v>0.66</v>
      </c>
      <c r="AH474" s="21">
        <v>0.55000000000000004</v>
      </c>
      <c r="AI474" s="21">
        <v>0.48</v>
      </c>
      <c r="AJ474" s="21">
        <v>2.23</v>
      </c>
      <c r="AK474" s="21">
        <v>0.89</v>
      </c>
    </row>
    <row r="475" spans="1:37" x14ac:dyDescent="0.25">
      <c r="A475" s="19" t="s">
        <v>113</v>
      </c>
      <c r="B475" s="20">
        <v>28.6</v>
      </c>
      <c r="C475" s="20">
        <v>28.6</v>
      </c>
      <c r="D475" s="21">
        <v>3.2</v>
      </c>
      <c r="F475" s="21">
        <v>3.2</v>
      </c>
      <c r="G475" s="21">
        <v>1.65</v>
      </c>
      <c r="H475" s="21">
        <v>1.3</v>
      </c>
      <c r="S475" s="22">
        <v>5.8999999999999997E-2</v>
      </c>
      <c r="T475" s="22">
        <v>3.5999999999999997E-2</v>
      </c>
      <c r="X475" s="21">
        <v>5</v>
      </c>
      <c r="Y475" s="21">
        <v>2.5</v>
      </c>
      <c r="Z475" s="21">
        <v>8.9</v>
      </c>
      <c r="AA475" s="21">
        <v>0.77</v>
      </c>
      <c r="AB475" s="21">
        <v>1.91</v>
      </c>
      <c r="AC475" s="21">
        <v>1.0900000000000001</v>
      </c>
      <c r="AD475" s="21">
        <v>1.06</v>
      </c>
      <c r="AE475" s="21">
        <v>0.55000000000000004</v>
      </c>
      <c r="AF475" s="21">
        <v>0.8</v>
      </c>
      <c r="AG475" s="21">
        <v>0.42</v>
      </c>
      <c r="AH475" s="21">
        <v>0.39</v>
      </c>
      <c r="AI475" s="21">
        <v>0.51</v>
      </c>
      <c r="AJ475" s="21">
        <v>1.7</v>
      </c>
      <c r="AK475" s="21">
        <v>1.01</v>
      </c>
    </row>
    <row r="476" spans="1:37" x14ac:dyDescent="0.25">
      <c r="A476" s="19" t="s">
        <v>113</v>
      </c>
      <c r="B476" s="20">
        <v>31.7</v>
      </c>
      <c r="C476" s="20">
        <v>31.7</v>
      </c>
      <c r="D476" s="21">
        <v>3.2</v>
      </c>
      <c r="F476" s="21">
        <v>3.2</v>
      </c>
      <c r="G476" s="21">
        <v>1.97</v>
      </c>
      <c r="H476" s="21">
        <v>1.55</v>
      </c>
      <c r="S476" s="22">
        <v>6.6000000000000003E-2</v>
      </c>
      <c r="T476" s="22">
        <v>0.05</v>
      </c>
      <c r="X476" s="21">
        <v>5</v>
      </c>
      <c r="Y476" s="21">
        <v>2.5</v>
      </c>
      <c r="Z476" s="21">
        <v>9.9</v>
      </c>
      <c r="AA476" s="21">
        <v>0.89</v>
      </c>
      <c r="AB476" s="21">
        <v>2.2599999999999998</v>
      </c>
      <c r="AC476" s="21">
        <v>1.26</v>
      </c>
      <c r="AD476" s="21">
        <v>1.83</v>
      </c>
      <c r="AE476" s="21">
        <v>0.79</v>
      </c>
      <c r="AF476" s="21">
        <v>0.96</v>
      </c>
      <c r="AG476" s="21">
        <v>0.72</v>
      </c>
      <c r="AH476" s="21">
        <v>0.56999999999999995</v>
      </c>
      <c r="AI476" s="21">
        <v>0.61</v>
      </c>
      <c r="AJ476" s="21">
        <v>2.93</v>
      </c>
      <c r="AK476" s="21">
        <v>1.22</v>
      </c>
    </row>
    <row r="477" spans="1:37" x14ac:dyDescent="0.25">
      <c r="A477" s="19" t="s">
        <v>113</v>
      </c>
      <c r="B477" s="20">
        <v>31.7</v>
      </c>
      <c r="C477" s="20">
        <v>31.7</v>
      </c>
      <c r="D477" s="21">
        <v>4.8</v>
      </c>
      <c r="F477" s="21">
        <v>4.8</v>
      </c>
      <c r="G477" s="21">
        <v>2.87</v>
      </c>
      <c r="H477" s="21">
        <v>2.25</v>
      </c>
      <c r="S477" s="21">
        <v>0.216</v>
      </c>
      <c r="T477" s="21">
        <v>0.155</v>
      </c>
      <c r="X477" s="21">
        <v>5</v>
      </c>
      <c r="Y477" s="21">
        <v>2.5</v>
      </c>
      <c r="Z477" s="21">
        <v>6.6</v>
      </c>
      <c r="AA477" s="21">
        <v>0.96</v>
      </c>
      <c r="AB477" s="21">
        <v>2.2599999999999998</v>
      </c>
      <c r="AC477" s="21">
        <v>1.35</v>
      </c>
      <c r="AD477" s="21">
        <v>2.58</v>
      </c>
      <c r="AE477" s="21">
        <v>1.1499999999999999</v>
      </c>
      <c r="AF477" s="21">
        <v>0.95</v>
      </c>
      <c r="AG477" s="21">
        <v>1.06</v>
      </c>
      <c r="AH477" s="21">
        <v>0.78</v>
      </c>
      <c r="AI477" s="21">
        <v>0.61</v>
      </c>
      <c r="AJ477" s="21">
        <v>4.0999999999999996</v>
      </c>
      <c r="AK477" s="21">
        <v>1.2</v>
      </c>
    </row>
    <row r="478" spans="1:37" x14ac:dyDescent="0.25">
      <c r="A478" s="19" t="s">
        <v>113</v>
      </c>
      <c r="B478" s="20">
        <v>31.7</v>
      </c>
      <c r="C478" s="20">
        <v>31.7</v>
      </c>
      <c r="D478" s="21">
        <v>6.4</v>
      </c>
      <c r="F478" s="21">
        <v>6.4</v>
      </c>
      <c r="G478" s="21">
        <v>3.71</v>
      </c>
      <c r="H478" s="21">
        <v>2.91</v>
      </c>
      <c r="S478" s="21">
        <v>0.498</v>
      </c>
      <c r="T478" s="21">
        <v>0.33700000000000002</v>
      </c>
      <c r="X478" s="21">
        <v>5</v>
      </c>
      <c r="Y478" s="21">
        <v>2.5</v>
      </c>
      <c r="Z478" s="21">
        <v>5</v>
      </c>
      <c r="AA478" s="21">
        <v>1.02</v>
      </c>
      <c r="AB478" s="21">
        <v>2.2599999999999998</v>
      </c>
      <c r="AC478" s="21">
        <v>1.44</v>
      </c>
      <c r="AD478" s="21">
        <v>3.24</v>
      </c>
      <c r="AE478" s="21">
        <v>1.49</v>
      </c>
      <c r="AF478" s="21">
        <v>0.93</v>
      </c>
      <c r="AG478" s="21">
        <v>1.38</v>
      </c>
      <c r="AH478" s="21">
        <v>0.96</v>
      </c>
      <c r="AI478" s="21">
        <v>0.61</v>
      </c>
      <c r="AJ478" s="21">
        <v>5.09</v>
      </c>
      <c r="AK478" s="21">
        <v>1.17</v>
      </c>
    </row>
    <row r="479" spans="1:37" x14ac:dyDescent="0.25">
      <c r="A479" s="19" t="s">
        <v>113</v>
      </c>
      <c r="B479" s="20">
        <v>38.1</v>
      </c>
      <c r="C479" s="20">
        <v>38.1</v>
      </c>
      <c r="D479" s="21">
        <v>3.2</v>
      </c>
      <c r="F479" s="21">
        <v>3.2</v>
      </c>
      <c r="G479" s="21">
        <v>2.37</v>
      </c>
      <c r="H479" s="21">
        <v>1.86</v>
      </c>
      <c r="S479" s="22">
        <v>0.08</v>
      </c>
      <c r="T479" s="22">
        <v>8.8999999999999996E-2</v>
      </c>
      <c r="X479" s="21">
        <v>6</v>
      </c>
      <c r="Y479" s="21">
        <v>3</v>
      </c>
      <c r="Z479" s="20">
        <v>11.9</v>
      </c>
      <c r="AA479" s="21">
        <v>1.03</v>
      </c>
      <c r="AB479" s="21">
        <v>2.69</v>
      </c>
      <c r="AC479" s="21">
        <v>1.46</v>
      </c>
      <c r="AD479" s="21">
        <v>3.11</v>
      </c>
      <c r="AE479" s="21">
        <v>1.1200000000000001</v>
      </c>
      <c r="AF479" s="21">
        <v>1.1499999999999999</v>
      </c>
      <c r="AG479" s="21">
        <v>1.2</v>
      </c>
      <c r="AH479" s="21">
        <v>0.82</v>
      </c>
      <c r="AI479" s="21">
        <v>0.71</v>
      </c>
      <c r="AJ479" s="21">
        <v>5.0199999999999996</v>
      </c>
      <c r="AK479" s="21">
        <v>1.46</v>
      </c>
    </row>
    <row r="480" spans="1:37" x14ac:dyDescent="0.25">
      <c r="A480" s="19" t="s">
        <v>113</v>
      </c>
      <c r="B480" s="20">
        <v>38.1</v>
      </c>
      <c r="C480" s="20">
        <v>38.1</v>
      </c>
      <c r="D480" s="21">
        <v>4.8</v>
      </c>
      <c r="F480" s="21">
        <v>4.8</v>
      </c>
      <c r="G480" s="21">
        <v>3.46</v>
      </c>
      <c r="H480" s="21">
        <v>2.71</v>
      </c>
      <c r="S480" s="21">
        <v>0.26300000000000001</v>
      </c>
      <c r="T480" s="21">
        <v>0.28000000000000003</v>
      </c>
      <c r="X480" s="21">
        <v>6</v>
      </c>
      <c r="Y480" s="21">
        <v>3</v>
      </c>
      <c r="Z480" s="21">
        <v>7.9</v>
      </c>
      <c r="AA480" s="21">
        <v>1.1000000000000001</v>
      </c>
      <c r="AB480" s="21">
        <v>2.69</v>
      </c>
      <c r="AC480" s="21">
        <v>1.56</v>
      </c>
      <c r="AD480" s="21">
        <v>4.45</v>
      </c>
      <c r="AE480" s="21">
        <v>1.65</v>
      </c>
      <c r="AF480" s="21">
        <v>1.1299999999999999</v>
      </c>
      <c r="AG480" s="21">
        <v>1.78</v>
      </c>
      <c r="AH480" s="21">
        <v>1.1399999999999999</v>
      </c>
      <c r="AI480" s="21">
        <v>0.72</v>
      </c>
      <c r="AJ480" s="21">
        <v>7.12</v>
      </c>
      <c r="AK480" s="21">
        <v>1.44</v>
      </c>
    </row>
    <row r="481" spans="1:37" x14ac:dyDescent="0.25">
      <c r="A481" s="19" t="s">
        <v>113</v>
      </c>
      <c r="B481" s="20">
        <v>38.1</v>
      </c>
      <c r="C481" s="20">
        <v>38.1</v>
      </c>
      <c r="D481" s="21">
        <v>6.4</v>
      </c>
      <c r="F481" s="21">
        <v>6.4</v>
      </c>
      <c r="G481" s="21">
        <v>4.49</v>
      </c>
      <c r="H481" s="21">
        <v>3.53</v>
      </c>
      <c r="S481" s="21">
        <v>0.61</v>
      </c>
      <c r="T481" s="21">
        <v>0.61899999999999999</v>
      </c>
      <c r="X481" s="21">
        <v>6</v>
      </c>
      <c r="Y481" s="21">
        <v>3</v>
      </c>
      <c r="Z481" s="21">
        <v>6</v>
      </c>
      <c r="AA481" s="21">
        <v>1.17</v>
      </c>
      <c r="AB481" s="21">
        <v>2.69</v>
      </c>
      <c r="AC481" s="21">
        <v>1.65</v>
      </c>
      <c r="AD481" s="21">
        <v>5.63</v>
      </c>
      <c r="AE481" s="21">
        <v>2.14</v>
      </c>
      <c r="AF481" s="21">
        <v>1.1200000000000001</v>
      </c>
      <c r="AG481" s="21">
        <v>2.33</v>
      </c>
      <c r="AH481" s="21">
        <v>1.42</v>
      </c>
      <c r="AI481" s="21">
        <v>0.72</v>
      </c>
      <c r="AJ481" s="21">
        <v>8.93</v>
      </c>
      <c r="AK481" s="21">
        <v>1.41</v>
      </c>
    </row>
    <row r="482" spans="1:37" x14ac:dyDescent="0.25">
      <c r="A482" s="19" t="s">
        <v>113</v>
      </c>
      <c r="B482" s="20">
        <v>44.4</v>
      </c>
      <c r="C482" s="20">
        <v>44.4</v>
      </c>
      <c r="D482" s="21">
        <v>3.2</v>
      </c>
      <c r="F482" s="21">
        <v>3.2</v>
      </c>
      <c r="G482" s="21">
        <v>2.83</v>
      </c>
      <c r="H482" s="21">
        <v>2.2200000000000002</v>
      </c>
      <c r="S482" s="22">
        <v>9.2999999999999999E-2</v>
      </c>
      <c r="T482" s="21">
        <v>0.14299999999999999</v>
      </c>
      <c r="X482" s="21">
        <v>7</v>
      </c>
      <c r="Y482" s="21">
        <v>3.5</v>
      </c>
      <c r="Z482" s="20">
        <v>13.9</v>
      </c>
      <c r="AA482" s="21">
        <v>1.19</v>
      </c>
      <c r="AB482" s="21">
        <v>3.18</v>
      </c>
      <c r="AC482" s="21">
        <v>1.68</v>
      </c>
      <c r="AD482" s="21">
        <v>5.24</v>
      </c>
      <c r="AE482" s="21">
        <v>1.58</v>
      </c>
      <c r="AF482" s="21">
        <v>1.36</v>
      </c>
      <c r="AG482" s="21">
        <v>1.98</v>
      </c>
      <c r="AH482" s="21">
        <v>1.18</v>
      </c>
      <c r="AI482" s="21">
        <v>0.84</v>
      </c>
      <c r="AJ482" s="21">
        <v>8.5</v>
      </c>
      <c r="AK482" s="21">
        <v>1.73</v>
      </c>
    </row>
    <row r="483" spans="1:37" x14ac:dyDescent="0.25">
      <c r="A483" s="19" t="s">
        <v>113</v>
      </c>
      <c r="B483" s="20">
        <v>44.4</v>
      </c>
      <c r="C483" s="20">
        <v>44.4</v>
      </c>
      <c r="D483" s="21">
        <v>4.8</v>
      </c>
      <c r="F483" s="21">
        <v>4.8</v>
      </c>
      <c r="G483" s="21">
        <v>4.1399999999999997</v>
      </c>
      <c r="H483" s="21">
        <v>3.25</v>
      </c>
      <c r="S483" s="21">
        <v>0.31</v>
      </c>
      <c r="T483" s="21">
        <v>0.45500000000000002</v>
      </c>
      <c r="X483" s="21">
        <v>7</v>
      </c>
      <c r="Y483" s="21">
        <v>3.5</v>
      </c>
      <c r="Z483" s="21">
        <v>9.3000000000000007</v>
      </c>
      <c r="AA483" s="21">
        <v>1.27</v>
      </c>
      <c r="AB483" s="21">
        <v>3.18</v>
      </c>
      <c r="AC483" s="21">
        <v>1.79</v>
      </c>
      <c r="AD483" s="21">
        <v>7.57</v>
      </c>
      <c r="AE483" s="21">
        <v>2.34</v>
      </c>
      <c r="AF483" s="21">
        <v>1.35</v>
      </c>
      <c r="AG483" s="21">
        <v>2.97</v>
      </c>
      <c r="AH483" s="21">
        <v>1.66</v>
      </c>
      <c r="AI483" s="21">
        <v>0.85</v>
      </c>
      <c r="AJ483" s="20">
        <v>12.17</v>
      </c>
      <c r="AK483" s="21">
        <v>1.71</v>
      </c>
    </row>
    <row r="484" spans="1:37" x14ac:dyDescent="0.25">
      <c r="A484" s="19" t="s">
        <v>113</v>
      </c>
      <c r="B484" s="20">
        <v>44.4</v>
      </c>
      <c r="C484" s="20">
        <v>44.4</v>
      </c>
      <c r="D484" s="21">
        <v>6.4</v>
      </c>
      <c r="F484" s="21">
        <v>6.4</v>
      </c>
      <c r="G484" s="21">
        <v>5.4</v>
      </c>
      <c r="H484" s="21">
        <v>4.24</v>
      </c>
      <c r="S484" s="21">
        <v>0.72</v>
      </c>
      <c r="T484" s="21">
        <v>1.018</v>
      </c>
      <c r="X484" s="21">
        <v>7</v>
      </c>
      <c r="Y484" s="21">
        <v>3.5</v>
      </c>
      <c r="Z484" s="21">
        <v>6.9</v>
      </c>
      <c r="AA484" s="21">
        <v>1.34</v>
      </c>
      <c r="AB484" s="21">
        <v>3.18</v>
      </c>
      <c r="AC484" s="21">
        <v>1.88</v>
      </c>
      <c r="AD484" s="21">
        <v>9.67</v>
      </c>
      <c r="AE484" s="21">
        <v>3.06</v>
      </c>
      <c r="AF484" s="21">
        <v>1.34</v>
      </c>
      <c r="AG484" s="21">
        <v>3.9</v>
      </c>
      <c r="AH484" s="21">
        <v>2.0699999999999998</v>
      </c>
      <c r="AI484" s="21">
        <v>0.85</v>
      </c>
      <c r="AJ484" s="20">
        <v>15.43</v>
      </c>
      <c r="AK484" s="21">
        <v>1.69</v>
      </c>
    </row>
    <row r="485" spans="1:37" x14ac:dyDescent="0.25">
      <c r="A485" s="19" t="s">
        <v>113</v>
      </c>
      <c r="B485" s="20">
        <v>50.8</v>
      </c>
      <c r="C485" s="20">
        <v>50.8</v>
      </c>
      <c r="D485" s="21">
        <v>3.2</v>
      </c>
      <c r="F485" s="21">
        <v>3.2</v>
      </c>
      <c r="G485" s="21">
        <v>3.21</v>
      </c>
      <c r="H485" s="21">
        <v>2.52</v>
      </c>
      <c r="S485" s="21">
        <v>0.107</v>
      </c>
      <c r="T485" s="21">
        <v>0.217</v>
      </c>
      <c r="X485" s="21">
        <v>7</v>
      </c>
      <c r="Y485" s="21">
        <v>3.5</v>
      </c>
      <c r="Z485" s="20">
        <v>15.9</v>
      </c>
      <c r="AA485" s="21">
        <v>1.34</v>
      </c>
      <c r="AB485" s="21">
        <v>3.16</v>
      </c>
      <c r="AC485" s="21">
        <v>1.89</v>
      </c>
      <c r="AD485" s="21">
        <v>7.76</v>
      </c>
      <c r="AE485" s="21">
        <v>2.0699999999999998</v>
      </c>
      <c r="AF485" s="21">
        <v>1.55</v>
      </c>
      <c r="AG485" s="21">
        <v>2.95</v>
      </c>
      <c r="AH485" s="21">
        <v>1.66</v>
      </c>
      <c r="AI485" s="21">
        <v>0.96</v>
      </c>
      <c r="AJ485" s="20">
        <v>12.58</v>
      </c>
      <c r="AK485" s="21">
        <v>1.98</v>
      </c>
    </row>
    <row r="486" spans="1:37" x14ac:dyDescent="0.25">
      <c r="A486" s="19" t="s">
        <v>113</v>
      </c>
      <c r="B486" s="20">
        <v>50.8</v>
      </c>
      <c r="C486" s="20">
        <v>50.8</v>
      </c>
      <c r="D486" s="21">
        <v>4.8</v>
      </c>
      <c r="F486" s="21">
        <v>4.8</v>
      </c>
      <c r="G486" s="21">
        <v>4.72</v>
      </c>
      <c r="H486" s="21">
        <v>3.7</v>
      </c>
      <c r="S486" s="21">
        <v>0.35699999999999998</v>
      </c>
      <c r="T486" s="21">
        <v>0.69699999999999995</v>
      </c>
      <c r="X486" s="21">
        <v>7</v>
      </c>
      <c r="Y486" s="21">
        <v>3.5</v>
      </c>
      <c r="Z486" s="20">
        <v>10.6</v>
      </c>
      <c r="AA486" s="21">
        <v>1.42</v>
      </c>
      <c r="AB486" s="21">
        <v>3.61</v>
      </c>
      <c r="AC486" s="21">
        <v>2</v>
      </c>
      <c r="AD486" s="20">
        <v>11.26</v>
      </c>
      <c r="AE486" s="21">
        <v>3.05</v>
      </c>
      <c r="AF486" s="21">
        <v>1.54</v>
      </c>
      <c r="AG486" s="21">
        <v>4.41</v>
      </c>
      <c r="AH486" s="21">
        <v>2.2000000000000002</v>
      </c>
      <c r="AI486" s="21">
        <v>0.97</v>
      </c>
      <c r="AJ486" s="20">
        <v>18.12</v>
      </c>
      <c r="AK486" s="21">
        <v>1.96</v>
      </c>
    </row>
    <row r="487" spans="1:37" x14ac:dyDescent="0.25">
      <c r="A487" s="19" t="s">
        <v>113</v>
      </c>
      <c r="B487" s="20">
        <v>50.8</v>
      </c>
      <c r="C487" s="20">
        <v>50.8</v>
      </c>
      <c r="D487" s="21">
        <v>6.4</v>
      </c>
      <c r="F487" s="21">
        <v>6.4</v>
      </c>
      <c r="G487" s="21">
        <v>6.17</v>
      </c>
      <c r="H487" s="21">
        <v>4.84</v>
      </c>
      <c r="S487" s="21">
        <v>0.83199999999999996</v>
      </c>
      <c r="T487" s="21">
        <v>1.571</v>
      </c>
      <c r="X487" s="21">
        <v>7</v>
      </c>
      <c r="Y487" s="21">
        <v>3.5</v>
      </c>
      <c r="Z487" s="21">
        <v>7.9</v>
      </c>
      <c r="AA487" s="21">
        <v>1.49</v>
      </c>
      <c r="AB487" s="21">
        <v>3.61</v>
      </c>
      <c r="AC487" s="21">
        <v>2.1</v>
      </c>
      <c r="AD487" s="20">
        <v>14.45</v>
      </c>
      <c r="AE487" s="21">
        <v>4</v>
      </c>
      <c r="AF487" s="21">
        <v>1.53</v>
      </c>
      <c r="AG487" s="21">
        <v>5.8</v>
      </c>
      <c r="AH487" s="21">
        <v>2.77</v>
      </c>
      <c r="AI487" s="21">
        <v>0.97</v>
      </c>
      <c r="AJ487" s="20">
        <v>23.1</v>
      </c>
      <c r="AK487" s="21">
        <v>1.93</v>
      </c>
    </row>
    <row r="488" spans="1:37" x14ac:dyDescent="0.25">
      <c r="A488" s="19" t="s">
        <v>113</v>
      </c>
      <c r="B488" s="20">
        <v>50.8</v>
      </c>
      <c r="C488" s="20">
        <v>50.8</v>
      </c>
      <c r="D488" s="21">
        <v>7.9</v>
      </c>
      <c r="F488" s="21">
        <v>7.9</v>
      </c>
      <c r="G488" s="21">
        <v>7.49</v>
      </c>
      <c r="H488" s="21">
        <v>5.88</v>
      </c>
      <c r="S488" s="21">
        <v>1.54</v>
      </c>
      <c r="T488" s="21">
        <v>2.8170000000000002</v>
      </c>
      <c r="X488" s="21">
        <v>7</v>
      </c>
      <c r="Y488" s="21">
        <v>3.5</v>
      </c>
      <c r="Z488" s="21">
        <v>6.4</v>
      </c>
      <c r="AA488" s="21">
        <v>1.54</v>
      </c>
      <c r="AB488" s="21">
        <v>3.61</v>
      </c>
      <c r="AC488" s="21">
        <v>2.1800000000000002</v>
      </c>
      <c r="AD488" s="20">
        <v>17.190000000000001</v>
      </c>
      <c r="AE488" s="21">
        <v>4.83</v>
      </c>
      <c r="AF488" s="21">
        <v>1.52</v>
      </c>
      <c r="AG488" s="21">
        <v>7.06</v>
      </c>
      <c r="AH488" s="21">
        <v>3.24</v>
      </c>
      <c r="AI488" s="21">
        <v>0.97</v>
      </c>
      <c r="AJ488" s="20">
        <v>27.32</v>
      </c>
      <c r="AK488" s="21">
        <v>1.91</v>
      </c>
    </row>
    <row r="489" spans="1:37" x14ac:dyDescent="0.25">
      <c r="A489" s="19" t="s">
        <v>113</v>
      </c>
      <c r="B489" s="20">
        <v>50.8</v>
      </c>
      <c r="C489" s="20">
        <v>50.8</v>
      </c>
      <c r="D489" s="21">
        <v>9.5</v>
      </c>
      <c r="F489" s="21">
        <v>9.5</v>
      </c>
      <c r="G489" s="21">
        <v>8.84</v>
      </c>
      <c r="H489" s="21">
        <v>6.94</v>
      </c>
      <c r="S489" s="21">
        <v>2.6320000000000001</v>
      </c>
      <c r="T489" s="21">
        <v>4.6509999999999998</v>
      </c>
      <c r="X489" s="21">
        <v>7</v>
      </c>
      <c r="Y489" s="21">
        <v>3.5</v>
      </c>
      <c r="Z489" s="21">
        <v>5.3</v>
      </c>
      <c r="AA489" s="21">
        <v>1.6</v>
      </c>
      <c r="AB489" s="21">
        <v>3.61</v>
      </c>
      <c r="AC489" s="21">
        <v>2.2599999999999998</v>
      </c>
      <c r="AD489" s="20">
        <v>19.87</v>
      </c>
      <c r="AE489" s="21">
        <v>5.68</v>
      </c>
      <c r="AF489" s="21">
        <v>1.5</v>
      </c>
      <c r="AG489" s="21">
        <v>8.3800000000000008</v>
      </c>
      <c r="AH489" s="21">
        <v>3.7</v>
      </c>
      <c r="AI489" s="21">
        <v>0.97</v>
      </c>
      <c r="AJ489" s="20">
        <v>31.35</v>
      </c>
      <c r="AK489" s="21">
        <v>1.88</v>
      </c>
    </row>
    <row r="490" spans="1:37" x14ac:dyDescent="0.25">
      <c r="A490" s="19" t="s">
        <v>113</v>
      </c>
      <c r="B490" s="20">
        <v>57.1</v>
      </c>
      <c r="C490" s="20">
        <v>57.1</v>
      </c>
      <c r="D490" s="21">
        <v>3.2</v>
      </c>
      <c r="F490" s="21">
        <v>3.2</v>
      </c>
      <c r="G490" s="21">
        <v>3.61</v>
      </c>
      <c r="H490" s="21">
        <v>2.84</v>
      </c>
      <c r="S490" s="21">
        <v>0.121</v>
      </c>
      <c r="T490" s="21">
        <v>0.311</v>
      </c>
      <c r="X490" s="21">
        <v>8</v>
      </c>
      <c r="Y490" s="21">
        <v>4</v>
      </c>
      <c r="Z490" s="20">
        <v>17.8</v>
      </c>
      <c r="AA490" s="21">
        <v>1.48</v>
      </c>
      <c r="AB490" s="21">
        <v>4.03</v>
      </c>
      <c r="AC490" s="21">
        <v>2.08</v>
      </c>
      <c r="AD490" s="20">
        <v>10.88</v>
      </c>
      <c r="AE490" s="21">
        <v>2.58</v>
      </c>
      <c r="AF490" s="21">
        <v>1.73</v>
      </c>
      <c r="AG490" s="21">
        <v>4.05</v>
      </c>
      <c r="AH490" s="21">
        <v>1.95</v>
      </c>
      <c r="AI490" s="21">
        <v>1.06</v>
      </c>
      <c r="AJ490" s="20">
        <v>17.7</v>
      </c>
      <c r="AK490" s="21">
        <v>2.21</v>
      </c>
    </row>
    <row r="491" spans="1:37" x14ac:dyDescent="0.25">
      <c r="A491" s="19" t="s">
        <v>113</v>
      </c>
      <c r="B491" s="20">
        <v>57.1</v>
      </c>
      <c r="C491" s="20">
        <v>57.1</v>
      </c>
      <c r="D491" s="21">
        <v>4.8</v>
      </c>
      <c r="F491" s="21">
        <v>4.8</v>
      </c>
      <c r="G491" s="21">
        <v>5.31</v>
      </c>
      <c r="H491" s="21">
        <v>4.17</v>
      </c>
      <c r="S491" s="21">
        <v>0.40300000000000002</v>
      </c>
      <c r="T491" s="21">
        <v>1.006</v>
      </c>
      <c r="X491" s="21">
        <v>8</v>
      </c>
      <c r="Y491" s="21">
        <v>4</v>
      </c>
      <c r="Z491" s="20">
        <v>11.9</v>
      </c>
      <c r="AA491" s="21">
        <v>1.56</v>
      </c>
      <c r="AB491" s="21">
        <v>4.03</v>
      </c>
      <c r="AC491" s="21">
        <v>2.2000000000000002</v>
      </c>
      <c r="AD491" s="20">
        <v>15.88</v>
      </c>
      <c r="AE491" s="21">
        <v>3.84</v>
      </c>
      <c r="AF491" s="21">
        <v>1.73</v>
      </c>
      <c r="AG491" s="21">
        <v>6.13</v>
      </c>
      <c r="AH491" s="21">
        <v>2.79</v>
      </c>
      <c r="AI491" s="21">
        <v>1.07</v>
      </c>
      <c r="AJ491" s="20">
        <v>25.64</v>
      </c>
      <c r="AK491" s="21">
        <v>2.2000000000000002</v>
      </c>
    </row>
    <row r="492" spans="1:37" x14ac:dyDescent="0.25">
      <c r="A492" s="19" t="s">
        <v>113</v>
      </c>
      <c r="B492" s="20">
        <v>57.1</v>
      </c>
      <c r="C492" s="20">
        <v>57.1</v>
      </c>
      <c r="D492" s="21">
        <v>6.4</v>
      </c>
      <c r="F492" s="21">
        <v>6.4</v>
      </c>
      <c r="G492" s="21">
        <v>6.96</v>
      </c>
      <c r="H492" s="21">
        <v>5.46</v>
      </c>
      <c r="S492" s="21">
        <v>0.94199999999999995</v>
      </c>
      <c r="T492" s="21">
        <v>2.2810000000000001</v>
      </c>
      <c r="X492" s="21">
        <v>8</v>
      </c>
      <c r="Y492" s="21">
        <v>4</v>
      </c>
      <c r="Z492" s="21">
        <v>8.9</v>
      </c>
      <c r="AA492" s="21">
        <v>1.63</v>
      </c>
      <c r="AB492" s="21">
        <v>4.03</v>
      </c>
      <c r="AC492" s="21">
        <v>2.2999999999999998</v>
      </c>
      <c r="AD492" s="20">
        <v>20.49</v>
      </c>
      <c r="AE492" s="21">
        <v>5.03</v>
      </c>
      <c r="AF492" s="21">
        <v>1.72</v>
      </c>
      <c r="AG492" s="21">
        <v>8.1</v>
      </c>
      <c r="AH492" s="21">
        <v>3.53</v>
      </c>
      <c r="AI492" s="21">
        <v>1.08</v>
      </c>
      <c r="AJ492" s="20">
        <v>32.869999999999997</v>
      </c>
      <c r="AK492" s="21">
        <v>2.17</v>
      </c>
    </row>
    <row r="493" spans="1:37" x14ac:dyDescent="0.25">
      <c r="A493" s="19" t="s">
        <v>113</v>
      </c>
      <c r="B493" s="20">
        <v>63.5</v>
      </c>
      <c r="C493" s="20">
        <v>63.5</v>
      </c>
      <c r="D493" s="21">
        <v>4.8</v>
      </c>
      <c r="F493" s="21">
        <v>4.8</v>
      </c>
      <c r="G493" s="21">
        <v>6</v>
      </c>
      <c r="H493" s="21">
        <v>4.71</v>
      </c>
      <c r="S493" s="21">
        <v>0.45</v>
      </c>
      <c r="T493" s="21">
        <v>1.401</v>
      </c>
      <c r="X493" s="21">
        <v>9</v>
      </c>
      <c r="Y493" s="21">
        <v>4.5</v>
      </c>
      <c r="Z493" s="20">
        <v>13.2</v>
      </c>
      <c r="AA493" s="21">
        <v>1.72</v>
      </c>
      <c r="AB493" s="21">
        <v>4.53</v>
      </c>
      <c r="AC493" s="21">
        <v>2.4300000000000002</v>
      </c>
      <c r="AD493" s="20">
        <v>22.7</v>
      </c>
      <c r="AE493" s="21">
        <v>4.8499999999999996</v>
      </c>
      <c r="AF493" s="21">
        <v>1.95</v>
      </c>
      <c r="AG493" s="21">
        <v>8.65</v>
      </c>
      <c r="AH493" s="21">
        <v>3.56</v>
      </c>
      <c r="AI493" s="21">
        <v>1.2</v>
      </c>
      <c r="AJ493" s="20">
        <v>36.76</v>
      </c>
      <c r="AK493" s="21">
        <v>2.48</v>
      </c>
    </row>
    <row r="494" spans="1:37" x14ac:dyDescent="0.25">
      <c r="A494" s="19" t="s">
        <v>113</v>
      </c>
      <c r="B494" s="20">
        <v>63.5</v>
      </c>
      <c r="C494" s="20">
        <v>63.5</v>
      </c>
      <c r="D494" s="21">
        <v>6.4</v>
      </c>
      <c r="F494" s="21">
        <v>6.4</v>
      </c>
      <c r="G494" s="21">
        <v>7.87</v>
      </c>
      <c r="H494" s="21">
        <v>6.18</v>
      </c>
      <c r="S494" s="21">
        <v>1.054</v>
      </c>
      <c r="T494" s="21">
        <v>3.1930000000000001</v>
      </c>
      <c r="X494" s="21">
        <v>9</v>
      </c>
      <c r="Y494" s="21">
        <v>4.5</v>
      </c>
      <c r="Z494" s="21">
        <v>9.9</v>
      </c>
      <c r="AA494" s="21">
        <v>1.8</v>
      </c>
      <c r="AB494" s="21">
        <v>4.53</v>
      </c>
      <c r="AC494" s="21">
        <v>2.5299999999999998</v>
      </c>
      <c r="AD494" s="20">
        <v>29.43</v>
      </c>
      <c r="AE494" s="21">
        <v>6.39</v>
      </c>
      <c r="AF494" s="21">
        <v>1.93</v>
      </c>
      <c r="AG494" s="20">
        <v>11.49</v>
      </c>
      <c r="AH494" s="21">
        <v>4.54</v>
      </c>
      <c r="AI494" s="21">
        <v>1.21</v>
      </c>
      <c r="AJ494" s="20">
        <v>47.37</v>
      </c>
      <c r="AK494" s="21">
        <v>2.4500000000000002</v>
      </c>
    </row>
    <row r="495" spans="1:37" x14ac:dyDescent="0.25">
      <c r="A495" s="19" t="s">
        <v>113</v>
      </c>
      <c r="B495" s="20">
        <v>63.5</v>
      </c>
      <c r="C495" s="20">
        <v>63.5</v>
      </c>
      <c r="D495" s="21">
        <v>7.9</v>
      </c>
      <c r="F495" s="21">
        <v>7.9</v>
      </c>
      <c r="G495" s="21">
        <v>9.57</v>
      </c>
      <c r="H495" s="21">
        <v>7.52</v>
      </c>
      <c r="S495" s="21">
        <v>1.9570000000000001</v>
      </c>
      <c r="T495" s="21">
        <v>5.7839999999999998</v>
      </c>
      <c r="X495" s="21">
        <v>9</v>
      </c>
      <c r="Y495" s="21">
        <v>4.5</v>
      </c>
      <c r="Z495" s="21">
        <v>8</v>
      </c>
      <c r="AA495" s="21">
        <v>1.86</v>
      </c>
      <c r="AB495" s="21">
        <v>4.53</v>
      </c>
      <c r="AC495" s="21">
        <v>2.62</v>
      </c>
      <c r="AD495" s="20">
        <v>35.299999999999997</v>
      </c>
      <c r="AE495" s="21">
        <v>7.77</v>
      </c>
      <c r="AF495" s="21">
        <v>1.92</v>
      </c>
      <c r="AG495" s="20">
        <v>14.07</v>
      </c>
      <c r="AH495" s="21">
        <v>5.37</v>
      </c>
      <c r="AI495" s="21">
        <v>1.21</v>
      </c>
      <c r="AJ495" s="20">
        <v>56.54</v>
      </c>
      <c r="AK495" s="21">
        <v>2.4300000000000002</v>
      </c>
    </row>
    <row r="496" spans="1:37" x14ac:dyDescent="0.25">
      <c r="A496" s="19" t="s">
        <v>113</v>
      </c>
      <c r="B496" s="20">
        <v>63.5</v>
      </c>
      <c r="C496" s="20">
        <v>63.5</v>
      </c>
      <c r="D496" s="21">
        <v>9.5</v>
      </c>
      <c r="F496" s="21">
        <v>9.5</v>
      </c>
      <c r="G496" s="20">
        <v>11.34</v>
      </c>
      <c r="H496" s="21">
        <v>8.91</v>
      </c>
      <c r="S496" s="21">
        <v>3.3580000000000001</v>
      </c>
      <c r="T496" s="21">
        <v>9.6590000000000007</v>
      </c>
      <c r="X496" s="21">
        <v>9</v>
      </c>
      <c r="Y496" s="21">
        <v>4.5</v>
      </c>
      <c r="Z496" s="21">
        <v>6.7</v>
      </c>
      <c r="AA496" s="21">
        <v>1.92</v>
      </c>
      <c r="AB496" s="21">
        <v>4.53</v>
      </c>
      <c r="AC496" s="21">
        <v>2.71</v>
      </c>
      <c r="AD496" s="20">
        <v>41.14</v>
      </c>
      <c r="AE496" s="21">
        <v>9.19</v>
      </c>
      <c r="AF496" s="21">
        <v>1.9</v>
      </c>
      <c r="AG496" s="20">
        <v>16.739999999999998</v>
      </c>
      <c r="AH496" s="21">
        <v>6.18</v>
      </c>
      <c r="AI496" s="21">
        <v>1.21</v>
      </c>
      <c r="AJ496" s="20">
        <v>65.55</v>
      </c>
      <c r="AK496" s="21">
        <v>2.4</v>
      </c>
    </row>
    <row r="497" spans="1:37" x14ac:dyDescent="0.25">
      <c r="A497" s="19" t="s">
        <v>113</v>
      </c>
      <c r="B497" s="20">
        <v>76.2</v>
      </c>
      <c r="C497" s="20">
        <v>76.2</v>
      </c>
      <c r="D497" s="21">
        <v>6.4</v>
      </c>
      <c r="F497" s="21">
        <v>6.4</v>
      </c>
      <c r="G497" s="21">
        <v>9.43</v>
      </c>
      <c r="H497" s="21">
        <v>7.4</v>
      </c>
      <c r="S497" s="21">
        <v>1.276</v>
      </c>
      <c r="T497" s="21">
        <v>5.665</v>
      </c>
      <c r="X497" s="20">
        <v>10</v>
      </c>
      <c r="Y497" s="21">
        <v>5</v>
      </c>
      <c r="Z497" s="20">
        <v>11.9</v>
      </c>
      <c r="AA497" s="21">
        <v>2.09</v>
      </c>
      <c r="AB497" s="21">
        <v>5.37</v>
      </c>
      <c r="AC497" s="21">
        <v>2.94</v>
      </c>
      <c r="AD497" s="20">
        <v>50.39</v>
      </c>
      <c r="AE497" s="21">
        <v>9.14</v>
      </c>
      <c r="AF497" s="21">
        <v>2.31</v>
      </c>
      <c r="AG497" s="20">
        <v>19.47</v>
      </c>
      <c r="AH497" s="21">
        <v>6.62</v>
      </c>
      <c r="AI497" s="21">
        <v>1.44</v>
      </c>
      <c r="AJ497" s="20">
        <v>81.3</v>
      </c>
      <c r="AK497" s="21">
        <v>2.94</v>
      </c>
    </row>
    <row r="498" spans="1:37" x14ac:dyDescent="0.25">
      <c r="A498" s="19" t="s">
        <v>113</v>
      </c>
      <c r="B498" s="20">
        <v>76.2</v>
      </c>
      <c r="C498" s="20">
        <v>76.2</v>
      </c>
      <c r="D498" s="21">
        <v>7.9</v>
      </c>
      <c r="F498" s="21">
        <v>7.9</v>
      </c>
      <c r="G498" s="20">
        <v>11.49</v>
      </c>
      <c r="H498" s="21">
        <v>9.02</v>
      </c>
      <c r="S498" s="21">
        <v>2.375</v>
      </c>
      <c r="T498" s="20">
        <v>10.33</v>
      </c>
      <c r="X498" s="20">
        <v>10</v>
      </c>
      <c r="Y498" s="21">
        <v>5</v>
      </c>
      <c r="Z498" s="21">
        <v>9.6</v>
      </c>
      <c r="AA498" s="21">
        <v>2.15</v>
      </c>
      <c r="AB498" s="21">
        <v>5.37</v>
      </c>
      <c r="AC498" s="21">
        <v>3.03</v>
      </c>
      <c r="AD498" s="20">
        <v>60.74</v>
      </c>
      <c r="AE498" s="20">
        <v>11.15</v>
      </c>
      <c r="AF498" s="21">
        <v>2.2999999999999998</v>
      </c>
      <c r="AG498" s="20">
        <v>23.89</v>
      </c>
      <c r="AH498" s="21">
        <v>7.88</v>
      </c>
      <c r="AI498" s="21">
        <v>1.44</v>
      </c>
      <c r="AJ498" s="20">
        <v>97.59</v>
      </c>
      <c r="AK498" s="21">
        <v>2.91</v>
      </c>
    </row>
    <row r="499" spans="1:37" x14ac:dyDescent="0.25">
      <c r="A499" s="19" t="s">
        <v>113</v>
      </c>
      <c r="B499" s="20">
        <v>76.2</v>
      </c>
      <c r="C499" s="20">
        <v>76.2</v>
      </c>
      <c r="D499" s="21">
        <v>9.5</v>
      </c>
      <c r="F499" s="21">
        <v>9.5</v>
      </c>
      <c r="G499" s="20">
        <v>13.64</v>
      </c>
      <c r="H499" s="20">
        <v>10.71</v>
      </c>
      <c r="S499" s="21">
        <v>4.0839999999999996</v>
      </c>
      <c r="T499" s="20">
        <v>17.37</v>
      </c>
      <c r="X499" s="20">
        <v>10</v>
      </c>
      <c r="Y499" s="21">
        <v>5</v>
      </c>
      <c r="Z499" s="21">
        <v>8</v>
      </c>
      <c r="AA499" s="21">
        <v>2.2200000000000002</v>
      </c>
      <c r="AB499" s="21">
        <v>5.37</v>
      </c>
      <c r="AC499" s="21">
        <v>3.12</v>
      </c>
      <c r="AD499" s="20">
        <v>71.150000000000006</v>
      </c>
      <c r="AE499" s="20">
        <v>13.21</v>
      </c>
      <c r="AF499" s="21">
        <v>2.2799999999999998</v>
      </c>
      <c r="AG499" s="20">
        <v>28.47</v>
      </c>
      <c r="AH499" s="21">
        <v>9.11</v>
      </c>
      <c r="AI499" s="21">
        <v>1.44</v>
      </c>
      <c r="AJ499" s="20">
        <v>113.82</v>
      </c>
      <c r="AK499" s="21">
        <v>2.89</v>
      </c>
    </row>
    <row r="500" spans="1:37" x14ac:dyDescent="0.25">
      <c r="A500" s="19" t="s">
        <v>113</v>
      </c>
      <c r="B500" s="20">
        <v>76.2</v>
      </c>
      <c r="C500" s="20">
        <v>76.2</v>
      </c>
      <c r="D500" s="20">
        <v>12.7</v>
      </c>
      <c r="F500" s="20">
        <v>12.7</v>
      </c>
      <c r="G500" s="20">
        <v>17.8</v>
      </c>
      <c r="H500" s="20">
        <v>13.97</v>
      </c>
      <c r="S500" s="21">
        <v>9.5389999999999997</v>
      </c>
      <c r="T500" s="20">
        <v>38.78</v>
      </c>
      <c r="X500" s="20">
        <v>10</v>
      </c>
      <c r="Y500" s="21">
        <v>5</v>
      </c>
      <c r="Z500" s="21">
        <v>6</v>
      </c>
      <c r="AA500" s="21">
        <v>2.34</v>
      </c>
      <c r="AB500" s="21">
        <v>5.37</v>
      </c>
      <c r="AC500" s="21">
        <v>3.3</v>
      </c>
      <c r="AD500" s="20">
        <v>90.15</v>
      </c>
      <c r="AE500" s="20">
        <v>17.14</v>
      </c>
      <c r="AF500" s="21">
        <v>2.25</v>
      </c>
      <c r="AG500" s="20">
        <v>37.35</v>
      </c>
      <c r="AH500" s="20">
        <v>11.33</v>
      </c>
      <c r="AI500" s="21">
        <v>1.45</v>
      </c>
      <c r="AJ500" s="20">
        <v>142.94999999999999</v>
      </c>
      <c r="AK500" s="21">
        <v>2.83</v>
      </c>
    </row>
    <row r="501" spans="1:37" x14ac:dyDescent="0.25">
      <c r="A501" s="19" t="s">
        <v>113</v>
      </c>
      <c r="B501" s="20">
        <v>88.9</v>
      </c>
      <c r="C501" s="20">
        <v>88.9</v>
      </c>
      <c r="D501" s="21">
        <v>6.4</v>
      </c>
      <c r="F501" s="21">
        <v>6.4</v>
      </c>
      <c r="G501" s="20">
        <v>11.11</v>
      </c>
      <c r="H501" s="21">
        <v>8.7200000000000006</v>
      </c>
      <c r="S501" s="21">
        <v>1.498</v>
      </c>
      <c r="T501" s="21">
        <v>9.1669999999999998</v>
      </c>
      <c r="X501" s="20">
        <v>11</v>
      </c>
      <c r="Y501" s="21">
        <v>5.5</v>
      </c>
      <c r="Z501" s="20">
        <v>13.9</v>
      </c>
      <c r="AA501" s="21">
        <v>2.4</v>
      </c>
      <c r="AB501" s="21">
        <v>6.29</v>
      </c>
      <c r="AC501" s="21">
        <v>3.38</v>
      </c>
      <c r="AD501" s="20">
        <v>82.34</v>
      </c>
      <c r="AE501" s="20">
        <v>12.67</v>
      </c>
      <c r="AF501" s="21">
        <v>2.72</v>
      </c>
      <c r="AG501" s="20">
        <v>31.58</v>
      </c>
      <c r="AH501" s="21">
        <v>9.34</v>
      </c>
      <c r="AI501" s="21">
        <v>1.69</v>
      </c>
      <c r="AJ501" s="20">
        <v>133.09</v>
      </c>
      <c r="AK501" s="21">
        <v>3.46</v>
      </c>
    </row>
    <row r="502" spans="1:37" x14ac:dyDescent="0.25">
      <c r="A502" s="19" t="s">
        <v>113</v>
      </c>
      <c r="B502" s="20">
        <v>88.9</v>
      </c>
      <c r="C502" s="20">
        <v>88.9</v>
      </c>
      <c r="D502" s="21">
        <v>7.9</v>
      </c>
      <c r="F502" s="21">
        <v>7.9</v>
      </c>
      <c r="G502" s="20">
        <v>13.57</v>
      </c>
      <c r="H502" s="20">
        <v>10.65</v>
      </c>
      <c r="S502" s="21">
        <v>2.7919999999999998</v>
      </c>
      <c r="T502" s="20">
        <v>16.79</v>
      </c>
      <c r="X502" s="20">
        <v>11</v>
      </c>
      <c r="Y502" s="21">
        <v>5.5</v>
      </c>
      <c r="Z502" s="20">
        <v>11.3</v>
      </c>
      <c r="AA502" s="21">
        <v>2.4700000000000002</v>
      </c>
      <c r="AB502" s="21">
        <v>6.29</v>
      </c>
      <c r="AC502" s="21">
        <v>3.48</v>
      </c>
      <c r="AD502" s="20">
        <v>99.66</v>
      </c>
      <c r="AE502" s="20">
        <v>15.49</v>
      </c>
      <c r="AF502" s="21">
        <v>2.71</v>
      </c>
      <c r="AG502" s="20">
        <v>38.85</v>
      </c>
      <c r="AH502" s="20">
        <v>11.17</v>
      </c>
      <c r="AI502" s="21">
        <v>1.69</v>
      </c>
      <c r="AJ502" s="20">
        <v>160.47</v>
      </c>
      <c r="AK502" s="21">
        <v>3.44</v>
      </c>
    </row>
    <row r="503" spans="1:37" x14ac:dyDescent="0.25">
      <c r="A503" s="19" t="s">
        <v>113</v>
      </c>
      <c r="B503" s="20">
        <v>88.9</v>
      </c>
      <c r="C503" s="20">
        <v>88.9</v>
      </c>
      <c r="D503" s="21">
        <v>9.5</v>
      </c>
      <c r="F503" s="21">
        <v>9.5</v>
      </c>
      <c r="G503" s="20">
        <v>16.14</v>
      </c>
      <c r="H503" s="20">
        <v>12.67</v>
      </c>
      <c r="S503" s="21">
        <v>4.8099999999999996</v>
      </c>
      <c r="T503" s="20">
        <v>28.38</v>
      </c>
      <c r="X503" s="20">
        <v>11</v>
      </c>
      <c r="Y503" s="21">
        <v>5.5</v>
      </c>
      <c r="Z503" s="21">
        <v>9.4</v>
      </c>
      <c r="AA503" s="21">
        <v>2.5299999999999998</v>
      </c>
      <c r="AB503" s="21">
        <v>6.29</v>
      </c>
      <c r="AC503" s="21">
        <v>3.57</v>
      </c>
      <c r="AD503" s="20">
        <v>117.2</v>
      </c>
      <c r="AE503" s="20">
        <v>18.41</v>
      </c>
      <c r="AF503" s="21">
        <v>2.69</v>
      </c>
      <c r="AG503" s="20">
        <v>46.37</v>
      </c>
      <c r="AH503" s="20">
        <v>12.98</v>
      </c>
      <c r="AI503" s="21">
        <v>1.7</v>
      </c>
      <c r="AJ503" s="20">
        <v>188.04</v>
      </c>
      <c r="AK503" s="21">
        <v>3.41</v>
      </c>
    </row>
    <row r="504" spans="1:37" x14ac:dyDescent="0.25">
      <c r="A504" s="19" t="s">
        <v>113</v>
      </c>
      <c r="B504" s="20">
        <v>88.9</v>
      </c>
      <c r="C504" s="20">
        <v>88.9</v>
      </c>
      <c r="D504" s="20">
        <v>12.7</v>
      </c>
      <c r="F504" s="20">
        <v>12.7</v>
      </c>
      <c r="G504" s="20">
        <v>21.12</v>
      </c>
      <c r="H504" s="20">
        <v>16.579999999999998</v>
      </c>
      <c r="S504" s="20">
        <v>11.273</v>
      </c>
      <c r="T504" s="20">
        <v>64.02</v>
      </c>
      <c r="X504" s="20">
        <v>11</v>
      </c>
      <c r="Y504" s="21">
        <v>5.5</v>
      </c>
      <c r="Z504" s="21">
        <v>7</v>
      </c>
      <c r="AA504" s="21">
        <v>2.66</v>
      </c>
      <c r="AB504" s="21">
        <v>6.29</v>
      </c>
      <c r="AC504" s="21">
        <v>3.75</v>
      </c>
      <c r="AD504" s="20">
        <v>149.65</v>
      </c>
      <c r="AE504" s="20">
        <v>23.98</v>
      </c>
      <c r="AF504" s="21">
        <v>2.66</v>
      </c>
      <c r="AG504" s="20">
        <v>60.89</v>
      </c>
      <c r="AH504" s="20">
        <v>16.23</v>
      </c>
      <c r="AI504" s="21">
        <v>1.7</v>
      </c>
      <c r="AJ504" s="20">
        <v>238.4</v>
      </c>
      <c r="AK504" s="21">
        <v>3.36</v>
      </c>
    </row>
    <row r="505" spans="1:37" x14ac:dyDescent="0.25">
      <c r="A505" s="19" t="s">
        <v>113</v>
      </c>
      <c r="B505" s="20">
        <v>101.6</v>
      </c>
      <c r="C505" s="20">
        <v>101.6</v>
      </c>
      <c r="D505" s="21">
        <v>6.4</v>
      </c>
      <c r="F505" s="21">
        <v>6.4</v>
      </c>
      <c r="G505" s="20">
        <v>12.8</v>
      </c>
      <c r="H505" s="20">
        <v>10.050000000000001</v>
      </c>
      <c r="S505" s="21">
        <v>1.72</v>
      </c>
      <c r="T505" s="20">
        <v>13.88</v>
      </c>
      <c r="X505" s="20">
        <v>12</v>
      </c>
      <c r="Y505" s="21">
        <v>6</v>
      </c>
      <c r="Z505" s="20">
        <v>15.9</v>
      </c>
      <c r="AA505" s="21">
        <v>2.71</v>
      </c>
      <c r="AB505" s="21">
        <v>7.21</v>
      </c>
      <c r="AC505" s="21">
        <v>3.82</v>
      </c>
      <c r="AD505" s="20">
        <v>125.53</v>
      </c>
      <c r="AE505" s="20">
        <v>16.760000000000002</v>
      </c>
      <c r="AF505" s="21">
        <v>3.13</v>
      </c>
      <c r="AG505" s="20">
        <v>47.85</v>
      </c>
      <c r="AH505" s="20">
        <v>12.52</v>
      </c>
      <c r="AI505" s="21">
        <v>1.93</v>
      </c>
      <c r="AJ505" s="20">
        <v>203.21</v>
      </c>
      <c r="AK505" s="21">
        <v>3.98</v>
      </c>
    </row>
    <row r="506" spans="1:37" x14ac:dyDescent="0.25">
      <c r="A506" s="19" t="s">
        <v>113</v>
      </c>
      <c r="B506" s="20">
        <v>101.6</v>
      </c>
      <c r="C506" s="20">
        <v>101.6</v>
      </c>
      <c r="D506" s="21">
        <v>7.9</v>
      </c>
      <c r="F506" s="21">
        <v>7.9</v>
      </c>
      <c r="G506" s="20">
        <v>15.65</v>
      </c>
      <c r="H506" s="20">
        <v>12.28</v>
      </c>
      <c r="S506" s="21">
        <v>3.21</v>
      </c>
      <c r="T506" s="20">
        <v>25.51</v>
      </c>
      <c r="X506" s="20">
        <v>12</v>
      </c>
      <c r="Y506" s="21">
        <v>6</v>
      </c>
      <c r="Z506" s="20">
        <v>12.9</v>
      </c>
      <c r="AA506" s="21">
        <v>2.78</v>
      </c>
      <c r="AB506" s="21">
        <v>7.21</v>
      </c>
      <c r="AC506" s="21">
        <v>3.92</v>
      </c>
      <c r="AD506" s="20">
        <v>152.41</v>
      </c>
      <c r="AE506" s="20">
        <v>20.54</v>
      </c>
      <c r="AF506" s="21">
        <v>3.12</v>
      </c>
      <c r="AG506" s="20">
        <v>59</v>
      </c>
      <c r="AH506" s="20">
        <v>15.04</v>
      </c>
      <c r="AI506" s="21">
        <v>1.94</v>
      </c>
      <c r="AJ506" s="20">
        <v>245.82</v>
      </c>
      <c r="AK506" s="21">
        <v>3.96</v>
      </c>
    </row>
    <row r="507" spans="1:37" x14ac:dyDescent="0.25">
      <c r="A507" s="19" t="s">
        <v>113</v>
      </c>
      <c r="B507" s="20">
        <v>101.6</v>
      </c>
      <c r="C507" s="20">
        <v>101.6</v>
      </c>
      <c r="D507" s="21">
        <v>9.5</v>
      </c>
      <c r="F507" s="21">
        <v>9.5</v>
      </c>
      <c r="G507" s="20">
        <v>18.63</v>
      </c>
      <c r="H507" s="20">
        <v>14.63</v>
      </c>
      <c r="S507" s="21">
        <v>5.5359999999999996</v>
      </c>
      <c r="T507" s="20">
        <v>43.27</v>
      </c>
      <c r="X507" s="20">
        <v>12</v>
      </c>
      <c r="Y507" s="21">
        <v>6</v>
      </c>
      <c r="Z507" s="20">
        <v>10.7</v>
      </c>
      <c r="AA507" s="21">
        <v>2.85</v>
      </c>
      <c r="AB507" s="21">
        <v>7.21</v>
      </c>
      <c r="AC507" s="21">
        <v>4.0199999999999996</v>
      </c>
      <c r="AD507" s="20">
        <v>179.81</v>
      </c>
      <c r="AE507" s="20">
        <v>24.47</v>
      </c>
      <c r="AF507" s="21">
        <v>3.11</v>
      </c>
      <c r="AG507" s="20">
        <v>70.56</v>
      </c>
      <c r="AH507" s="20">
        <v>17.55</v>
      </c>
      <c r="AI507" s="21">
        <v>1.95</v>
      </c>
      <c r="AJ507" s="20">
        <v>289.07</v>
      </c>
      <c r="AK507" s="21">
        <v>3.94</v>
      </c>
    </row>
    <row r="508" spans="1:37" x14ac:dyDescent="0.25">
      <c r="A508" s="19" t="s">
        <v>113</v>
      </c>
      <c r="B508" s="20">
        <v>101.6</v>
      </c>
      <c r="C508" s="20">
        <v>101.6</v>
      </c>
      <c r="D508" s="20">
        <v>11.1</v>
      </c>
      <c r="F508" s="20">
        <v>11.1</v>
      </c>
      <c r="G508" s="20">
        <v>21.57</v>
      </c>
      <c r="H508" s="20">
        <v>16.93</v>
      </c>
      <c r="S508" s="21">
        <v>8.7569999999999997</v>
      </c>
      <c r="T508" s="20">
        <v>67.33</v>
      </c>
      <c r="X508" s="20">
        <v>12</v>
      </c>
      <c r="Y508" s="21">
        <v>6</v>
      </c>
      <c r="Z508" s="21">
        <v>9.1999999999999993</v>
      </c>
      <c r="AA508" s="21">
        <v>2.92</v>
      </c>
      <c r="AB508" s="21">
        <v>7.21</v>
      </c>
      <c r="AC508" s="21">
        <v>4.1100000000000003</v>
      </c>
      <c r="AD508" s="20">
        <v>205.97</v>
      </c>
      <c r="AE508" s="20">
        <v>28.28</v>
      </c>
      <c r="AF508" s="21">
        <v>3.09</v>
      </c>
      <c r="AG508" s="20">
        <v>81.819999999999993</v>
      </c>
      <c r="AH508" s="20">
        <v>19.89</v>
      </c>
      <c r="AI508" s="21">
        <v>1.95</v>
      </c>
      <c r="AJ508" s="20">
        <v>330.12</v>
      </c>
      <c r="AK508" s="21">
        <v>3.91</v>
      </c>
    </row>
    <row r="509" spans="1:37" x14ac:dyDescent="0.25">
      <c r="A509" s="19" t="s">
        <v>113</v>
      </c>
      <c r="B509" s="20">
        <v>101.6</v>
      </c>
      <c r="C509" s="20">
        <v>101.6</v>
      </c>
      <c r="D509" s="20">
        <v>12.7</v>
      </c>
      <c r="F509" s="20">
        <v>12.7</v>
      </c>
      <c r="G509" s="20">
        <v>24.45</v>
      </c>
      <c r="H509" s="20">
        <v>19.190000000000001</v>
      </c>
      <c r="S509" s="20">
        <v>13.007</v>
      </c>
      <c r="T509" s="20">
        <v>98.34</v>
      </c>
      <c r="X509" s="20">
        <v>12</v>
      </c>
      <c r="Y509" s="21">
        <v>6</v>
      </c>
      <c r="Z509" s="21">
        <v>8</v>
      </c>
      <c r="AA509" s="21">
        <v>2.98</v>
      </c>
      <c r="AB509" s="21">
        <v>7.21</v>
      </c>
      <c r="AC509" s="21">
        <v>4.2</v>
      </c>
      <c r="AD509" s="20">
        <v>230.95</v>
      </c>
      <c r="AE509" s="20">
        <v>31.99</v>
      </c>
      <c r="AF509" s="21">
        <v>3.07</v>
      </c>
      <c r="AG509" s="20">
        <v>92.84</v>
      </c>
      <c r="AH509" s="20">
        <v>22.09</v>
      </c>
      <c r="AI509" s="21">
        <v>1.95</v>
      </c>
      <c r="AJ509" s="20">
        <v>369.07</v>
      </c>
      <c r="AK509" s="21">
        <v>3.89</v>
      </c>
    </row>
    <row r="510" spans="1:37" x14ac:dyDescent="0.25">
      <c r="A510" s="19" t="s">
        <v>113</v>
      </c>
      <c r="B510" s="20">
        <v>127</v>
      </c>
      <c r="C510" s="20">
        <v>127</v>
      </c>
      <c r="D510" s="21">
        <v>9.5</v>
      </c>
      <c r="F510" s="21">
        <v>9.5</v>
      </c>
      <c r="G510" s="20">
        <v>23.44</v>
      </c>
      <c r="H510" s="20">
        <v>18.399999999999999</v>
      </c>
      <c r="S510" s="21">
        <v>6.9880000000000004</v>
      </c>
      <c r="T510" s="20">
        <v>87.03</v>
      </c>
      <c r="X510" s="20">
        <v>14</v>
      </c>
      <c r="Y510" s="21">
        <v>7</v>
      </c>
      <c r="Z510" s="20">
        <v>13.4</v>
      </c>
      <c r="AA510" s="21">
        <v>3.46</v>
      </c>
      <c r="AB510" s="21">
        <v>8.98</v>
      </c>
      <c r="AC510" s="21">
        <v>4.87</v>
      </c>
      <c r="AD510" s="20">
        <v>355.91</v>
      </c>
      <c r="AE510" s="20">
        <v>38.51</v>
      </c>
      <c r="AF510" s="21">
        <v>3.9</v>
      </c>
      <c r="AG510" s="20">
        <v>138.04</v>
      </c>
      <c r="AH510" s="20">
        <v>28.32</v>
      </c>
      <c r="AI510" s="21">
        <v>2.4300000000000002</v>
      </c>
      <c r="AJ510" s="20">
        <v>573.78</v>
      </c>
      <c r="AK510" s="21">
        <v>4.95</v>
      </c>
    </row>
    <row r="511" spans="1:37" x14ac:dyDescent="0.25">
      <c r="A511" s="19" t="s">
        <v>113</v>
      </c>
      <c r="B511" s="20">
        <v>127</v>
      </c>
      <c r="C511" s="20">
        <v>127</v>
      </c>
      <c r="D511" s="20">
        <v>11.1</v>
      </c>
      <c r="F511" s="20">
        <v>11.1</v>
      </c>
      <c r="G511" s="20">
        <v>27.17</v>
      </c>
      <c r="H511" s="20">
        <v>21.33</v>
      </c>
      <c r="S511" s="20">
        <v>11.073</v>
      </c>
      <c r="T511" s="20">
        <v>136.1</v>
      </c>
      <c r="X511" s="20">
        <v>14</v>
      </c>
      <c r="Y511" s="21">
        <v>7</v>
      </c>
      <c r="Z511" s="20">
        <v>11.4</v>
      </c>
      <c r="AA511" s="21">
        <v>3.53</v>
      </c>
      <c r="AB511" s="21">
        <v>8.98</v>
      </c>
      <c r="AC511" s="21">
        <v>4.97</v>
      </c>
      <c r="AD511" s="20">
        <v>409.46</v>
      </c>
      <c r="AE511" s="20">
        <v>44.63</v>
      </c>
      <c r="AF511" s="21">
        <v>3.88</v>
      </c>
      <c r="AG511" s="20">
        <v>160.51</v>
      </c>
      <c r="AH511" s="20">
        <v>32.28</v>
      </c>
      <c r="AI511" s="21">
        <v>2.4300000000000002</v>
      </c>
      <c r="AJ511" s="20">
        <v>658.41</v>
      </c>
      <c r="AK511" s="21">
        <v>4.92</v>
      </c>
    </row>
    <row r="512" spans="1:37" x14ac:dyDescent="0.25">
      <c r="A512" s="19" t="s">
        <v>113</v>
      </c>
      <c r="B512" s="20">
        <v>127</v>
      </c>
      <c r="C512" s="20">
        <v>127</v>
      </c>
      <c r="D512" s="20">
        <v>12.7</v>
      </c>
      <c r="F512" s="20">
        <v>12.7</v>
      </c>
      <c r="G512" s="20">
        <v>30.86</v>
      </c>
      <c r="H512" s="20">
        <v>24.22</v>
      </c>
      <c r="S512" s="20">
        <v>16.475999999999999</v>
      </c>
      <c r="T512" s="20">
        <v>199.9</v>
      </c>
      <c r="X512" s="20">
        <v>14</v>
      </c>
      <c r="Y512" s="21">
        <v>7</v>
      </c>
      <c r="Z512" s="20">
        <v>10</v>
      </c>
      <c r="AA512" s="21">
        <v>3.59</v>
      </c>
      <c r="AB512" s="21">
        <v>8.98</v>
      </c>
      <c r="AC512" s="21">
        <v>5.07</v>
      </c>
      <c r="AD512" s="20">
        <v>461.04</v>
      </c>
      <c r="AE512" s="20">
        <v>50.62</v>
      </c>
      <c r="AF512" s="21">
        <v>3.87</v>
      </c>
      <c r="AG512" s="20">
        <v>182.49</v>
      </c>
      <c r="AH512" s="20">
        <v>36.03</v>
      </c>
      <c r="AI512" s="21">
        <v>2.4300000000000002</v>
      </c>
      <c r="AJ512" s="20">
        <v>739.6</v>
      </c>
      <c r="AK512" s="21">
        <v>4.9000000000000004</v>
      </c>
    </row>
    <row r="513" spans="1:39" x14ac:dyDescent="0.25">
      <c r="A513" s="19" t="s">
        <v>113</v>
      </c>
      <c r="B513" s="20">
        <v>152.4</v>
      </c>
      <c r="C513" s="20">
        <v>152.4</v>
      </c>
      <c r="D513" s="21">
        <v>9.5</v>
      </c>
      <c r="F513" s="21">
        <v>9.5</v>
      </c>
      <c r="G513" s="20">
        <v>28.25</v>
      </c>
      <c r="H513" s="20">
        <v>22.18</v>
      </c>
      <c r="S513" s="21">
        <v>8.4390000000000001</v>
      </c>
      <c r="T513" s="20">
        <v>153.30000000000001</v>
      </c>
      <c r="X513" s="20">
        <v>16</v>
      </c>
      <c r="Y513" s="21">
        <v>8</v>
      </c>
      <c r="Z513" s="20">
        <v>16</v>
      </c>
      <c r="AA513" s="21">
        <v>4.0599999999999996</v>
      </c>
      <c r="AB513" s="20">
        <v>10.75</v>
      </c>
      <c r="AC513" s="21">
        <v>5.72</v>
      </c>
      <c r="AD513" s="20">
        <v>620.29</v>
      </c>
      <c r="AE513" s="20">
        <v>55.68</v>
      </c>
      <c r="AF513" s="21">
        <v>4.6900000000000004</v>
      </c>
      <c r="AG513" s="20">
        <v>238.52</v>
      </c>
      <c r="AH513" s="20">
        <v>41.67</v>
      </c>
      <c r="AI513" s="21">
        <v>2.91</v>
      </c>
      <c r="AJ513" s="20">
        <v>1002.06</v>
      </c>
      <c r="AK513" s="21">
        <v>5.96</v>
      </c>
    </row>
    <row r="514" spans="1:39" x14ac:dyDescent="0.25">
      <c r="A514" s="19" t="s">
        <v>113</v>
      </c>
      <c r="B514" s="20">
        <v>152.4</v>
      </c>
      <c r="C514" s="20">
        <v>152.4</v>
      </c>
      <c r="D514" s="20">
        <v>11.1</v>
      </c>
      <c r="F514" s="20">
        <v>11.1</v>
      </c>
      <c r="G514" s="20">
        <v>32.79</v>
      </c>
      <c r="H514" s="20">
        <v>25.74</v>
      </c>
      <c r="S514" s="20">
        <v>13.388999999999999</v>
      </c>
      <c r="T514" s="20">
        <v>240.6</v>
      </c>
      <c r="X514" s="20">
        <v>16</v>
      </c>
      <c r="Y514" s="21">
        <v>8</v>
      </c>
      <c r="Z514" s="20">
        <v>13.7</v>
      </c>
      <c r="AA514" s="21">
        <v>4.13</v>
      </c>
      <c r="AB514" s="20">
        <v>10.75</v>
      </c>
      <c r="AC514" s="21">
        <v>5.83</v>
      </c>
      <c r="AD514" s="20">
        <v>715.82</v>
      </c>
      <c r="AE514" s="20">
        <v>64.680000000000007</v>
      </c>
      <c r="AF514" s="21">
        <v>4.67</v>
      </c>
      <c r="AG514" s="20">
        <v>278.02999999999997</v>
      </c>
      <c r="AH514" s="20">
        <v>47.71</v>
      </c>
      <c r="AI514" s="21">
        <v>2.91</v>
      </c>
      <c r="AJ514" s="20">
        <v>1153.5999999999999</v>
      </c>
      <c r="AK514" s="21">
        <v>5.93</v>
      </c>
    </row>
    <row r="515" spans="1:39" x14ac:dyDescent="0.25">
      <c r="A515" s="19" t="s">
        <v>113</v>
      </c>
      <c r="B515" s="20">
        <v>152.4</v>
      </c>
      <c r="C515" s="20">
        <v>152.4</v>
      </c>
      <c r="D515" s="20">
        <v>12.7</v>
      </c>
      <c r="F515" s="20">
        <v>12.7</v>
      </c>
      <c r="G515" s="20">
        <v>37.270000000000003</v>
      </c>
      <c r="H515" s="20">
        <v>29.26</v>
      </c>
      <c r="S515" s="20">
        <v>19.943999999999999</v>
      </c>
      <c r="T515" s="20">
        <v>354.5</v>
      </c>
      <c r="X515" s="20">
        <v>16</v>
      </c>
      <c r="Y515" s="21">
        <v>8</v>
      </c>
      <c r="Z515" s="20">
        <v>12</v>
      </c>
      <c r="AA515" s="21">
        <v>4.2</v>
      </c>
      <c r="AB515" s="20">
        <v>10.75</v>
      </c>
      <c r="AC515" s="21">
        <v>5.92</v>
      </c>
      <c r="AD515" s="20">
        <v>808.39</v>
      </c>
      <c r="AE515" s="20">
        <v>73.5</v>
      </c>
      <c r="AF515" s="21">
        <v>4.66</v>
      </c>
      <c r="AG515" s="20">
        <v>316.74</v>
      </c>
      <c r="AH515" s="20">
        <v>53.46</v>
      </c>
      <c r="AI515" s="21">
        <v>2.92</v>
      </c>
      <c r="AJ515" s="20">
        <v>1300.04</v>
      </c>
      <c r="AK515" s="21">
        <v>5.91</v>
      </c>
    </row>
    <row r="516" spans="1:39" x14ac:dyDescent="0.25">
      <c r="A516" s="23" t="s">
        <v>128</v>
      </c>
      <c r="B516" s="24">
        <v>19</v>
      </c>
      <c r="C516" s="24">
        <v>19</v>
      </c>
      <c r="D516" s="24">
        <v>3.2</v>
      </c>
      <c r="G516" s="24">
        <v>1.1399999999999999</v>
      </c>
      <c r="H516" s="24">
        <v>0.89</v>
      </c>
      <c r="I516" s="24">
        <v>0.33</v>
      </c>
      <c r="J516" s="24">
        <v>0.25</v>
      </c>
      <c r="K516" s="24">
        <v>0.54</v>
      </c>
      <c r="L516" s="24">
        <v>0.26</v>
      </c>
      <c r="M516" s="24">
        <v>0.5</v>
      </c>
      <c r="N516" s="24">
        <v>0.18</v>
      </c>
      <c r="O516" s="24">
        <v>0.19</v>
      </c>
      <c r="P516" s="24">
        <v>0.4</v>
      </c>
      <c r="Q516" s="24">
        <v>0.16</v>
      </c>
      <c r="R516" s="24">
        <v>0.31</v>
      </c>
      <c r="S516" s="24">
        <v>3.7999999999999999E-2</v>
      </c>
      <c r="T516" s="24">
        <v>8.0000000000000002E-3</v>
      </c>
      <c r="AL516" s="24">
        <v>5.94</v>
      </c>
      <c r="AM516" s="24">
        <v>0.56999999999999995</v>
      </c>
    </row>
    <row r="517" spans="1:39" x14ac:dyDescent="0.25">
      <c r="A517" s="23" t="s">
        <v>128</v>
      </c>
      <c r="B517" s="24">
        <v>22</v>
      </c>
      <c r="C517" s="24">
        <v>22</v>
      </c>
      <c r="D517" s="24">
        <v>3.2</v>
      </c>
      <c r="G517" s="24">
        <v>1.33</v>
      </c>
      <c r="H517" s="24">
        <v>1.04</v>
      </c>
      <c r="I517" s="24">
        <v>0.53</v>
      </c>
      <c r="J517" s="24">
        <v>0.34</v>
      </c>
      <c r="K517" s="24">
        <v>0.63</v>
      </c>
      <c r="L517" s="24">
        <v>0.36</v>
      </c>
      <c r="M517" s="24">
        <v>0.67</v>
      </c>
      <c r="N517" s="24">
        <v>0.27</v>
      </c>
      <c r="O517" s="24">
        <v>0.25</v>
      </c>
      <c r="P517" s="24">
        <v>0.45</v>
      </c>
      <c r="Q517" s="24">
        <v>0.21</v>
      </c>
      <c r="R517" s="24">
        <v>0.42</v>
      </c>
      <c r="S517" s="24">
        <v>4.4999999999999998E-2</v>
      </c>
      <c r="T517" s="24">
        <v>1.2E-2</v>
      </c>
      <c r="AL517" s="24">
        <v>6.88</v>
      </c>
      <c r="AM517" s="24">
        <v>0.64</v>
      </c>
    </row>
    <row r="518" spans="1:39" x14ac:dyDescent="0.25">
      <c r="A518" s="23" t="s">
        <v>128</v>
      </c>
      <c r="B518" s="24">
        <v>25</v>
      </c>
      <c r="C518" s="24">
        <v>25</v>
      </c>
      <c r="D518" s="24">
        <v>3.2</v>
      </c>
      <c r="G518" s="24">
        <v>1.52</v>
      </c>
      <c r="H518" s="24">
        <v>1.19</v>
      </c>
      <c r="I518" s="24">
        <v>0.79</v>
      </c>
      <c r="J518" s="24">
        <v>0.44</v>
      </c>
      <c r="K518" s="24">
        <v>0.72</v>
      </c>
      <c r="L518" s="24">
        <v>0.46</v>
      </c>
      <c r="M518" s="24">
        <v>0.89</v>
      </c>
      <c r="N518" s="24">
        <v>0.4</v>
      </c>
      <c r="O518" s="24">
        <v>0.32</v>
      </c>
      <c r="P518" s="24">
        <v>0.51</v>
      </c>
      <c r="Q518" s="24">
        <v>0.27</v>
      </c>
      <c r="R518" s="24">
        <v>0.53</v>
      </c>
      <c r="S518" s="24">
        <v>5.0999999999999997E-2</v>
      </c>
      <c r="T518" s="24">
        <v>1.7999999999999999E-2</v>
      </c>
      <c r="AL518" s="24">
        <v>7.81</v>
      </c>
      <c r="AM518" s="24">
        <v>0.7</v>
      </c>
    </row>
    <row r="519" spans="1:39" x14ac:dyDescent="0.25">
      <c r="A519" s="23" t="s">
        <v>128</v>
      </c>
      <c r="B519" s="24">
        <v>25</v>
      </c>
      <c r="C519" s="24">
        <v>25</v>
      </c>
      <c r="D519" s="24">
        <v>4.8</v>
      </c>
      <c r="G519" s="24">
        <v>2.2200000000000002</v>
      </c>
      <c r="H519" s="24">
        <v>1.74</v>
      </c>
      <c r="I519" s="24">
        <v>1.1200000000000001</v>
      </c>
      <c r="J519" s="24">
        <v>0.65</v>
      </c>
      <c r="K519" s="24">
        <v>0.71</v>
      </c>
      <c r="L519" s="24">
        <v>0.67</v>
      </c>
      <c r="M519" s="24">
        <v>1.22</v>
      </c>
      <c r="N519" s="24">
        <v>0.61</v>
      </c>
      <c r="O519" s="24">
        <v>0.49</v>
      </c>
      <c r="P519" s="24">
        <v>0.52</v>
      </c>
      <c r="Q519" s="24">
        <v>0.42</v>
      </c>
      <c r="R519" s="24">
        <v>0.83</v>
      </c>
      <c r="S519" s="24">
        <v>0.16700000000000001</v>
      </c>
      <c r="T519" s="24">
        <v>0.06</v>
      </c>
      <c r="AL519" s="24">
        <v>5.21</v>
      </c>
      <c r="AM519" s="24">
        <v>0.78</v>
      </c>
    </row>
    <row r="520" spans="1:39" x14ac:dyDescent="0.25">
      <c r="A520" s="23" t="s">
        <v>128</v>
      </c>
      <c r="B520" s="24">
        <v>29</v>
      </c>
      <c r="C520" s="24">
        <v>29</v>
      </c>
      <c r="D520" s="24">
        <v>3.2</v>
      </c>
      <c r="G520" s="24">
        <v>1.77</v>
      </c>
      <c r="H520" s="24">
        <v>1.39</v>
      </c>
      <c r="I520" s="24">
        <v>1.25</v>
      </c>
      <c r="J520" s="24">
        <v>0.59</v>
      </c>
      <c r="K520" s="24">
        <v>0.84</v>
      </c>
      <c r="L520" s="24">
        <v>0.63</v>
      </c>
      <c r="M520" s="24">
        <v>1.22</v>
      </c>
      <c r="N520" s="24">
        <v>0.62</v>
      </c>
      <c r="O520" s="24">
        <v>0.43</v>
      </c>
      <c r="P520" s="24">
        <v>0.59</v>
      </c>
      <c r="Q520" s="24">
        <v>0.35</v>
      </c>
      <c r="R520" s="24">
        <v>0.71</v>
      </c>
      <c r="S520" s="24">
        <v>0.06</v>
      </c>
      <c r="T520" s="24">
        <v>2.8000000000000001E-2</v>
      </c>
      <c r="AL520" s="24">
        <v>9.06</v>
      </c>
      <c r="AM520" s="24">
        <v>0.79</v>
      </c>
    </row>
    <row r="521" spans="1:39" x14ac:dyDescent="0.25">
      <c r="A521" s="23" t="s">
        <v>128</v>
      </c>
      <c r="B521" s="24">
        <v>32</v>
      </c>
      <c r="C521" s="24">
        <v>32</v>
      </c>
      <c r="D521" s="24">
        <v>3.2</v>
      </c>
      <c r="G521" s="24">
        <v>1.96</v>
      </c>
      <c r="H521" s="24">
        <v>1.54</v>
      </c>
      <c r="I521" s="24">
        <v>1.69</v>
      </c>
      <c r="J521" s="24">
        <v>0.72</v>
      </c>
      <c r="K521" s="24">
        <v>0.93</v>
      </c>
      <c r="L521" s="24">
        <v>0.77</v>
      </c>
      <c r="M521" s="24">
        <v>1.48</v>
      </c>
      <c r="N521" s="24">
        <v>0.83</v>
      </c>
      <c r="O521" s="24">
        <v>0.52</v>
      </c>
      <c r="P521" s="24">
        <v>0.65</v>
      </c>
      <c r="Q521" s="24">
        <v>0.43</v>
      </c>
      <c r="R521" s="24">
        <v>0.86</v>
      </c>
      <c r="S521" s="24">
        <v>6.6000000000000003E-2</v>
      </c>
      <c r="T521" s="24">
        <v>3.6999999999999998E-2</v>
      </c>
      <c r="AL521" s="24">
        <v>10</v>
      </c>
      <c r="AM521" s="24">
        <v>0.86</v>
      </c>
    </row>
    <row r="522" spans="1:39" x14ac:dyDescent="0.25">
      <c r="A522" s="23" t="s">
        <v>128</v>
      </c>
      <c r="B522" s="24">
        <v>32</v>
      </c>
      <c r="C522" s="24">
        <v>32</v>
      </c>
      <c r="D522" s="24">
        <v>4.8</v>
      </c>
      <c r="G522" s="24">
        <v>2.89</v>
      </c>
      <c r="H522" s="24">
        <v>2.27</v>
      </c>
      <c r="I522" s="24">
        <v>2.4500000000000002</v>
      </c>
      <c r="J522" s="24">
        <v>1.08</v>
      </c>
      <c r="K522" s="24">
        <v>0.92</v>
      </c>
      <c r="L522" s="24">
        <v>1.1299999999999999</v>
      </c>
      <c r="M522" s="24">
        <v>2.11</v>
      </c>
      <c r="N522" s="24">
        <v>1.25</v>
      </c>
      <c r="O522" s="24">
        <v>0.78</v>
      </c>
      <c r="P522" s="24">
        <v>0.66</v>
      </c>
      <c r="Q522" s="24">
        <v>0.67</v>
      </c>
      <c r="R522" s="24">
        <v>1.33</v>
      </c>
      <c r="S522" s="24">
        <v>0.218</v>
      </c>
      <c r="T522" s="24">
        <v>0.126</v>
      </c>
      <c r="AL522" s="24">
        <v>6.67</v>
      </c>
      <c r="AM522" s="24">
        <v>0.94</v>
      </c>
    </row>
    <row r="523" spans="1:39" x14ac:dyDescent="0.25">
      <c r="A523" s="23" t="s">
        <v>128</v>
      </c>
      <c r="B523" s="24">
        <v>38</v>
      </c>
      <c r="C523" s="24">
        <v>38</v>
      </c>
      <c r="D523" s="24">
        <v>3.2</v>
      </c>
      <c r="G523" s="24">
        <v>2.34</v>
      </c>
      <c r="H523" s="24">
        <v>1.84</v>
      </c>
      <c r="I523" s="24">
        <v>2.84</v>
      </c>
      <c r="J523" s="24">
        <v>1.01</v>
      </c>
      <c r="K523" s="24">
        <v>1.1000000000000001</v>
      </c>
      <c r="L523" s="24">
        <v>1.0900000000000001</v>
      </c>
      <c r="M523" s="24">
        <v>2.11</v>
      </c>
      <c r="N523" s="24">
        <v>1.38</v>
      </c>
      <c r="O523" s="24">
        <v>0.72</v>
      </c>
      <c r="P523" s="24">
        <v>0.77</v>
      </c>
      <c r="Q523" s="24">
        <v>0.6</v>
      </c>
      <c r="R523" s="24">
        <v>1.2</v>
      </c>
      <c r="S523" s="24">
        <v>0.08</v>
      </c>
      <c r="T523" s="24">
        <v>6.2E-2</v>
      </c>
      <c r="AL523" s="24">
        <v>11.88</v>
      </c>
      <c r="AM523" s="24">
        <v>0.99</v>
      </c>
    </row>
    <row r="524" spans="1:39" x14ac:dyDescent="0.25">
      <c r="A524" s="23" t="s">
        <v>128</v>
      </c>
      <c r="B524" s="24">
        <v>38</v>
      </c>
      <c r="C524" s="24">
        <v>38</v>
      </c>
      <c r="D524" s="24">
        <v>4.8</v>
      </c>
      <c r="G524" s="24">
        <v>3.46</v>
      </c>
      <c r="H524" s="24">
        <v>2.72</v>
      </c>
      <c r="I524" s="24">
        <v>4.2</v>
      </c>
      <c r="J524" s="24">
        <v>1.54</v>
      </c>
      <c r="K524" s="24">
        <v>1.1000000000000001</v>
      </c>
      <c r="L524" s="24">
        <v>1.61</v>
      </c>
      <c r="M524" s="24">
        <v>3.02</v>
      </c>
      <c r="N524" s="24">
        <v>2.08</v>
      </c>
      <c r="O524" s="24">
        <v>1.1000000000000001</v>
      </c>
      <c r="P524" s="24">
        <v>0.78</v>
      </c>
      <c r="Q524" s="24">
        <v>0.93</v>
      </c>
      <c r="R524" s="24">
        <v>1.85</v>
      </c>
      <c r="S524" s="24">
        <v>0.26200000000000001</v>
      </c>
      <c r="T524" s="24">
        <v>0.21099999999999999</v>
      </c>
      <c r="AL524" s="24">
        <v>7.92</v>
      </c>
      <c r="AM524" s="24">
        <v>1.07</v>
      </c>
    </row>
    <row r="525" spans="1:39" x14ac:dyDescent="0.25">
      <c r="A525" s="23" t="s">
        <v>128</v>
      </c>
      <c r="B525" s="24">
        <v>38</v>
      </c>
      <c r="C525" s="24">
        <v>38</v>
      </c>
      <c r="D525" s="24">
        <v>6.4</v>
      </c>
      <c r="G525" s="24">
        <v>4.5599999999999996</v>
      </c>
      <c r="H525" s="24">
        <v>3.57</v>
      </c>
      <c r="I525" s="24">
        <v>5.37</v>
      </c>
      <c r="J525" s="24">
        <v>2.02</v>
      </c>
      <c r="K525" s="24">
        <v>1.0900000000000001</v>
      </c>
      <c r="L525" s="24">
        <v>2.09</v>
      </c>
      <c r="M525" s="24">
        <v>3.99</v>
      </c>
      <c r="N525" s="24">
        <v>2.64</v>
      </c>
      <c r="O525" s="24">
        <v>1.5</v>
      </c>
      <c r="P525" s="24">
        <v>0.79</v>
      </c>
      <c r="Q525" s="24">
        <v>1.26</v>
      </c>
      <c r="R525" s="24">
        <v>2.5099999999999998</v>
      </c>
      <c r="S525" s="24">
        <v>0.60799999999999998</v>
      </c>
      <c r="T525" s="24">
        <v>0.499</v>
      </c>
      <c r="AL525" s="24">
        <v>5.94</v>
      </c>
      <c r="AM525" s="24">
        <v>1.1399999999999999</v>
      </c>
    </row>
    <row r="526" spans="1:39" x14ac:dyDescent="0.25">
      <c r="A526" s="23" t="s">
        <v>128</v>
      </c>
      <c r="B526" s="24">
        <v>45</v>
      </c>
      <c r="C526" s="24">
        <v>45</v>
      </c>
      <c r="D526" s="24">
        <v>4.8</v>
      </c>
      <c r="G526" s="24">
        <v>4.13</v>
      </c>
      <c r="H526" s="24">
        <v>3.24</v>
      </c>
      <c r="I526" s="24">
        <v>7.07</v>
      </c>
      <c r="J526" s="24">
        <v>2.16</v>
      </c>
      <c r="K526" s="24">
        <v>1.31</v>
      </c>
      <c r="L526" s="24">
        <v>2.29</v>
      </c>
      <c r="M526" s="24">
        <v>4.29</v>
      </c>
      <c r="N526" s="24">
        <v>3.44</v>
      </c>
      <c r="O526" s="24">
        <v>1.53</v>
      </c>
      <c r="P526" s="24">
        <v>0.91</v>
      </c>
      <c r="Q526" s="24">
        <v>1.28</v>
      </c>
      <c r="R526" s="24">
        <v>2.57</v>
      </c>
      <c r="S526" s="24">
        <v>0.314</v>
      </c>
      <c r="T526" s="24">
        <v>0.35</v>
      </c>
      <c r="AL526" s="24">
        <v>9.3800000000000008</v>
      </c>
      <c r="AM526" s="24">
        <v>1.23</v>
      </c>
    </row>
    <row r="527" spans="1:39" x14ac:dyDescent="0.25">
      <c r="A527" s="23" t="s">
        <v>128</v>
      </c>
      <c r="B527" s="24">
        <v>51</v>
      </c>
      <c r="C527" s="24">
        <v>51</v>
      </c>
      <c r="D527" s="24">
        <v>4.8</v>
      </c>
      <c r="G527" s="24">
        <v>4.7</v>
      </c>
      <c r="H527" s="24">
        <v>3.69</v>
      </c>
      <c r="I527" s="24">
        <v>10.34</v>
      </c>
      <c r="J527" s="24">
        <v>2.76</v>
      </c>
      <c r="K527" s="24">
        <v>1.48</v>
      </c>
      <c r="L527" s="24">
        <v>2.94</v>
      </c>
      <c r="M527" s="24">
        <v>5.53</v>
      </c>
      <c r="N527" s="24">
        <v>4.99</v>
      </c>
      <c r="O527" s="24">
        <v>1.96</v>
      </c>
      <c r="P527" s="24">
        <v>1.03</v>
      </c>
      <c r="Q527" s="24">
        <v>1.64</v>
      </c>
      <c r="R527" s="24">
        <v>3.27</v>
      </c>
      <c r="S527" s="24">
        <v>0.35799999999999998</v>
      </c>
      <c r="T527" s="24">
        <v>0.50900000000000001</v>
      </c>
      <c r="AL527" s="24">
        <v>10.6</v>
      </c>
      <c r="AM527" s="24">
        <v>1.36</v>
      </c>
    </row>
    <row r="528" spans="1:39" x14ac:dyDescent="0.25">
      <c r="A528" s="23" t="s">
        <v>128</v>
      </c>
      <c r="B528" s="24">
        <v>51</v>
      </c>
      <c r="C528" s="24">
        <v>51</v>
      </c>
      <c r="D528" s="24">
        <v>6.4</v>
      </c>
      <c r="G528" s="24">
        <v>6.2</v>
      </c>
      <c r="H528" s="24">
        <v>4.87</v>
      </c>
      <c r="I528" s="24">
        <v>13.52</v>
      </c>
      <c r="J528" s="24">
        <v>3.69</v>
      </c>
      <c r="K528" s="24">
        <v>1.48</v>
      </c>
      <c r="L528" s="24">
        <v>3.88</v>
      </c>
      <c r="M528" s="24">
        <v>7.29</v>
      </c>
      <c r="N528" s="24">
        <v>6.77</v>
      </c>
      <c r="O528" s="24">
        <v>2.65</v>
      </c>
      <c r="P528" s="24">
        <v>1.04</v>
      </c>
      <c r="Q528" s="24">
        <v>2.21</v>
      </c>
      <c r="R528" s="24">
        <v>4.42</v>
      </c>
      <c r="S528" s="24">
        <v>0.83499999999999996</v>
      </c>
      <c r="T528" s="24">
        <v>1.2070000000000001</v>
      </c>
      <c r="AL528" s="24">
        <v>7.97</v>
      </c>
      <c r="AM528" s="24">
        <v>1.44</v>
      </c>
    </row>
    <row r="529" spans="1:40" x14ac:dyDescent="0.25">
      <c r="A529" s="23" t="s">
        <v>140</v>
      </c>
      <c r="B529">
        <v>12.7</v>
      </c>
      <c r="D529">
        <v>0.7</v>
      </c>
      <c r="G529">
        <v>0.26</v>
      </c>
      <c r="H529">
        <v>0.21</v>
      </c>
      <c r="I529">
        <v>0.05</v>
      </c>
      <c r="J529">
        <v>0.08</v>
      </c>
      <c r="K529">
        <v>0.42</v>
      </c>
      <c r="M529">
        <v>0.1</v>
      </c>
      <c r="S529">
        <v>0.1</v>
      </c>
      <c r="T529">
        <v>0.15</v>
      </c>
      <c r="AN529">
        <v>0.04</v>
      </c>
    </row>
    <row r="530" spans="1:40" x14ac:dyDescent="0.25">
      <c r="A530" s="23" t="s">
        <v>140</v>
      </c>
      <c r="B530">
        <v>12.7</v>
      </c>
      <c r="D530">
        <v>0.9</v>
      </c>
      <c r="G530">
        <v>0.33</v>
      </c>
      <c r="H530">
        <v>0.26</v>
      </c>
      <c r="I530">
        <v>0.06</v>
      </c>
      <c r="J530">
        <v>0.09</v>
      </c>
      <c r="K530">
        <v>0.42</v>
      </c>
      <c r="M530">
        <v>0.13</v>
      </c>
      <c r="S530">
        <v>0.12</v>
      </c>
      <c r="T530">
        <v>0.18</v>
      </c>
      <c r="AN530">
        <v>0.04</v>
      </c>
    </row>
    <row r="531" spans="1:40" x14ac:dyDescent="0.25">
      <c r="A531" s="23" t="s">
        <v>140</v>
      </c>
      <c r="B531">
        <v>12.7</v>
      </c>
      <c r="D531">
        <v>1.25</v>
      </c>
      <c r="G531">
        <v>0.45</v>
      </c>
      <c r="H531">
        <v>0.35</v>
      </c>
      <c r="I531">
        <v>7.0000000000000007E-2</v>
      </c>
      <c r="J531">
        <v>0.12</v>
      </c>
      <c r="K531">
        <v>0.41</v>
      </c>
      <c r="M531">
        <v>0.16</v>
      </c>
      <c r="S531">
        <v>0.15</v>
      </c>
      <c r="T531">
        <v>0.23</v>
      </c>
      <c r="AN531">
        <v>0.04</v>
      </c>
    </row>
    <row r="532" spans="1:40" x14ac:dyDescent="0.25">
      <c r="A532" s="23" t="s">
        <v>140</v>
      </c>
      <c r="B532">
        <v>12.7</v>
      </c>
      <c r="D532">
        <v>1.6</v>
      </c>
      <c r="G532">
        <v>0.56000000000000005</v>
      </c>
      <c r="H532">
        <v>0.44</v>
      </c>
      <c r="I532">
        <v>0.09</v>
      </c>
      <c r="J532">
        <v>0.14000000000000001</v>
      </c>
      <c r="K532">
        <v>0.4</v>
      </c>
      <c r="M532">
        <v>0.2</v>
      </c>
      <c r="S532">
        <v>0.18</v>
      </c>
      <c r="T532">
        <v>0.28000000000000003</v>
      </c>
      <c r="AN532">
        <v>0.04</v>
      </c>
    </row>
    <row r="533" spans="1:40" x14ac:dyDescent="0.25">
      <c r="A533" s="23" t="s">
        <v>140</v>
      </c>
      <c r="B533">
        <v>15.87</v>
      </c>
      <c r="D533">
        <v>0.7</v>
      </c>
      <c r="G533">
        <v>0.33</v>
      </c>
      <c r="H533">
        <v>0.26</v>
      </c>
      <c r="I533">
        <v>0.1</v>
      </c>
      <c r="J533">
        <v>0.12</v>
      </c>
      <c r="K533">
        <v>0.54</v>
      </c>
      <c r="M533">
        <v>0.16</v>
      </c>
      <c r="S533">
        <v>0.19</v>
      </c>
      <c r="T533">
        <v>0.25</v>
      </c>
      <c r="AN533">
        <v>0.05</v>
      </c>
    </row>
    <row r="534" spans="1:40" x14ac:dyDescent="0.25">
      <c r="A534" s="23" t="s">
        <v>140</v>
      </c>
      <c r="B534">
        <v>15.87</v>
      </c>
      <c r="D534">
        <v>0.9</v>
      </c>
      <c r="G534">
        <v>0.42</v>
      </c>
      <c r="H534">
        <v>0.33</v>
      </c>
      <c r="I534">
        <v>0.12</v>
      </c>
      <c r="J534">
        <v>0.15</v>
      </c>
      <c r="K534">
        <v>0.53</v>
      </c>
      <c r="M534">
        <v>0.2</v>
      </c>
      <c r="S534">
        <v>0.24</v>
      </c>
      <c r="T534">
        <v>0.3</v>
      </c>
      <c r="AN534">
        <v>0.05</v>
      </c>
    </row>
    <row r="535" spans="1:40" x14ac:dyDescent="0.25">
      <c r="A535" s="23" t="s">
        <v>140</v>
      </c>
      <c r="B535">
        <v>15.87</v>
      </c>
      <c r="D535">
        <v>1.25</v>
      </c>
      <c r="G535">
        <v>0.56999999999999995</v>
      </c>
      <c r="H535">
        <v>0.45</v>
      </c>
      <c r="I535">
        <v>0.15</v>
      </c>
      <c r="J535">
        <v>0.19</v>
      </c>
      <c r="K535">
        <v>0.52</v>
      </c>
      <c r="M535">
        <v>0.27</v>
      </c>
      <c r="S535">
        <v>0.31</v>
      </c>
      <c r="T535">
        <v>0.39</v>
      </c>
      <c r="AN535">
        <v>0.05</v>
      </c>
    </row>
    <row r="536" spans="1:40" x14ac:dyDescent="0.25">
      <c r="A536" s="23" t="s">
        <v>140</v>
      </c>
      <c r="B536">
        <v>15.87</v>
      </c>
      <c r="D536">
        <v>1.6</v>
      </c>
      <c r="G536">
        <v>0.72</v>
      </c>
      <c r="H536">
        <v>0.56000000000000005</v>
      </c>
      <c r="I536">
        <v>0.18</v>
      </c>
      <c r="J536">
        <v>0.23</v>
      </c>
      <c r="K536">
        <v>0.51</v>
      </c>
      <c r="M536">
        <v>0.33</v>
      </c>
      <c r="S536">
        <v>0.37</v>
      </c>
      <c r="T536">
        <v>0.47</v>
      </c>
      <c r="AN536">
        <v>0.05</v>
      </c>
    </row>
    <row r="537" spans="1:40" x14ac:dyDescent="0.25">
      <c r="A537" s="23" t="s">
        <v>140</v>
      </c>
      <c r="B537">
        <v>19.05</v>
      </c>
      <c r="D537">
        <v>0.7</v>
      </c>
      <c r="G537">
        <v>0.4</v>
      </c>
      <c r="H537">
        <v>0.32</v>
      </c>
      <c r="I537">
        <v>0.17</v>
      </c>
      <c r="J537">
        <v>0.18</v>
      </c>
      <c r="K537">
        <v>0.65</v>
      </c>
      <c r="M537">
        <v>0.24</v>
      </c>
      <c r="S537">
        <v>0.34</v>
      </c>
      <c r="T537">
        <v>0.37</v>
      </c>
      <c r="AN537">
        <v>0.06</v>
      </c>
    </row>
    <row r="538" spans="1:40" x14ac:dyDescent="0.25">
      <c r="A538" s="23" t="s">
        <v>140</v>
      </c>
      <c r="B538">
        <v>19.05</v>
      </c>
      <c r="D538">
        <v>0.9</v>
      </c>
      <c r="G538">
        <v>0.51</v>
      </c>
      <c r="H538">
        <v>0.4</v>
      </c>
      <c r="I538">
        <v>0.21</v>
      </c>
      <c r="J538">
        <v>0.22</v>
      </c>
      <c r="K538">
        <v>0.64</v>
      </c>
      <c r="M538">
        <v>0.3</v>
      </c>
      <c r="S538">
        <v>0.42</v>
      </c>
      <c r="T538">
        <v>0.47</v>
      </c>
      <c r="AN538">
        <v>0.06</v>
      </c>
    </row>
    <row r="539" spans="1:40" x14ac:dyDescent="0.25">
      <c r="A539" s="23" t="s">
        <v>140</v>
      </c>
      <c r="B539">
        <v>19.05</v>
      </c>
      <c r="D539">
        <v>1.25</v>
      </c>
      <c r="G539">
        <v>0.7</v>
      </c>
      <c r="H539">
        <v>0.55000000000000004</v>
      </c>
      <c r="I539">
        <v>0.28000000000000003</v>
      </c>
      <c r="J539">
        <v>0.28999999999999998</v>
      </c>
      <c r="K539">
        <v>0.63</v>
      </c>
      <c r="M539">
        <v>0.4</v>
      </c>
      <c r="S539">
        <v>0.56000000000000005</v>
      </c>
      <c r="T539">
        <v>0.57999999999999996</v>
      </c>
      <c r="AN539">
        <v>0.06</v>
      </c>
    </row>
    <row r="540" spans="1:40" x14ac:dyDescent="0.25">
      <c r="A540" s="23" t="s">
        <v>140</v>
      </c>
      <c r="B540">
        <v>19.05</v>
      </c>
      <c r="D540">
        <v>1.6</v>
      </c>
      <c r="G540">
        <v>0.88</v>
      </c>
      <c r="H540">
        <v>0.69</v>
      </c>
      <c r="I540">
        <v>0.34</v>
      </c>
      <c r="J540">
        <v>0.35</v>
      </c>
      <c r="K540">
        <v>0.62</v>
      </c>
      <c r="M540">
        <v>0.49</v>
      </c>
      <c r="S540">
        <v>0.67</v>
      </c>
      <c r="T540">
        <v>0.71</v>
      </c>
      <c r="AN540">
        <v>0.06</v>
      </c>
    </row>
    <row r="541" spans="1:40" x14ac:dyDescent="0.25">
      <c r="A541" s="23" t="s">
        <v>140</v>
      </c>
      <c r="B541">
        <v>19.05</v>
      </c>
      <c r="D541">
        <v>2</v>
      </c>
      <c r="G541">
        <v>1.07</v>
      </c>
      <c r="H541">
        <v>0.84</v>
      </c>
      <c r="I541">
        <v>0.39</v>
      </c>
      <c r="J541">
        <v>0.41</v>
      </c>
      <c r="K541">
        <v>0.61</v>
      </c>
      <c r="M541">
        <v>0.57999999999999996</v>
      </c>
      <c r="S541">
        <v>0.79</v>
      </c>
      <c r="T541">
        <v>0.83</v>
      </c>
      <c r="AN541">
        <v>0.06</v>
      </c>
    </row>
    <row r="542" spans="1:40" x14ac:dyDescent="0.25">
      <c r="A542" s="23" t="s">
        <v>140</v>
      </c>
      <c r="B542">
        <v>22.22</v>
      </c>
      <c r="D542">
        <v>0.7</v>
      </c>
      <c r="G542">
        <v>0.47</v>
      </c>
      <c r="H542">
        <v>0.37</v>
      </c>
      <c r="I542">
        <v>0.27</v>
      </c>
      <c r="J542">
        <v>0.25</v>
      </c>
      <c r="K542">
        <v>0.76</v>
      </c>
      <c r="M542">
        <v>0.32</v>
      </c>
      <c r="S542">
        <v>0.55000000000000004</v>
      </c>
      <c r="T542">
        <v>0.51</v>
      </c>
      <c r="AN542">
        <v>7.0000000000000007E-2</v>
      </c>
    </row>
    <row r="543" spans="1:40" x14ac:dyDescent="0.25">
      <c r="A543" s="23" t="s">
        <v>140</v>
      </c>
      <c r="B543">
        <v>22.22</v>
      </c>
      <c r="D543">
        <v>0.9</v>
      </c>
      <c r="G543">
        <v>0.6</v>
      </c>
      <c r="H543">
        <v>0.47</v>
      </c>
      <c r="I543">
        <v>0.34</v>
      </c>
      <c r="J543">
        <v>0.31</v>
      </c>
      <c r="K543">
        <v>0.75</v>
      </c>
      <c r="M543">
        <v>0.41</v>
      </c>
      <c r="S543">
        <v>0.69</v>
      </c>
      <c r="T543">
        <v>0.64</v>
      </c>
      <c r="AN543">
        <v>7.0000000000000007E-2</v>
      </c>
    </row>
    <row r="544" spans="1:40" x14ac:dyDescent="0.25">
      <c r="A544" s="23" t="s">
        <v>140</v>
      </c>
      <c r="B544">
        <v>22.22</v>
      </c>
      <c r="D544">
        <v>1.25</v>
      </c>
      <c r="G544">
        <v>0.82</v>
      </c>
      <c r="H544">
        <v>0.65</v>
      </c>
      <c r="I544">
        <v>0.45</v>
      </c>
      <c r="J544">
        <v>0.41</v>
      </c>
      <c r="K544">
        <v>0.74</v>
      </c>
      <c r="M544">
        <v>0.55000000000000004</v>
      </c>
      <c r="S544">
        <v>0.91</v>
      </c>
      <c r="T544">
        <v>0.82</v>
      </c>
      <c r="AN544">
        <v>7.0000000000000007E-2</v>
      </c>
    </row>
    <row r="545" spans="1:40" x14ac:dyDescent="0.25">
      <c r="A545" s="23" t="s">
        <v>140</v>
      </c>
      <c r="B545">
        <v>22.22</v>
      </c>
      <c r="D545">
        <v>1.6</v>
      </c>
      <c r="G545">
        <v>1.04</v>
      </c>
      <c r="H545">
        <v>0.81</v>
      </c>
      <c r="I545">
        <v>0.55000000000000004</v>
      </c>
      <c r="J545">
        <v>0.5</v>
      </c>
      <c r="K545">
        <v>0.73</v>
      </c>
      <c r="M545">
        <v>0.68</v>
      </c>
      <c r="S545">
        <v>1.1100000000000001</v>
      </c>
      <c r="T545">
        <v>1</v>
      </c>
      <c r="AN545">
        <v>7.0000000000000007E-2</v>
      </c>
    </row>
    <row r="546" spans="1:40" x14ac:dyDescent="0.25">
      <c r="A546" s="23" t="s">
        <v>140</v>
      </c>
      <c r="B546">
        <v>22.22</v>
      </c>
      <c r="D546">
        <v>2</v>
      </c>
      <c r="G546">
        <v>1.27</v>
      </c>
      <c r="H546">
        <v>1</v>
      </c>
      <c r="I546">
        <v>0.66</v>
      </c>
      <c r="J546">
        <v>0.59</v>
      </c>
      <c r="K546">
        <v>0.72</v>
      </c>
      <c r="M546">
        <v>0.82</v>
      </c>
      <c r="S546">
        <v>1.31</v>
      </c>
      <c r="T546">
        <v>1.18</v>
      </c>
      <c r="AN546">
        <v>7.0000000000000007E-2</v>
      </c>
    </row>
    <row r="547" spans="1:40" x14ac:dyDescent="0.25">
      <c r="A547" s="23" t="s">
        <v>140</v>
      </c>
      <c r="B547">
        <v>25.4</v>
      </c>
      <c r="D547">
        <v>0.7</v>
      </c>
      <c r="G547">
        <v>0.54</v>
      </c>
      <c r="H547">
        <v>0.43</v>
      </c>
      <c r="I547">
        <v>0.41</v>
      </c>
      <c r="J547">
        <v>0.33</v>
      </c>
      <c r="K547">
        <v>0.87</v>
      </c>
      <c r="M547">
        <v>0.43</v>
      </c>
      <c r="S547">
        <v>0.83</v>
      </c>
      <c r="T547">
        <v>0.67</v>
      </c>
      <c r="AN547">
        <v>0.08</v>
      </c>
    </row>
    <row r="548" spans="1:40" x14ac:dyDescent="0.25">
      <c r="A548" s="23" t="s">
        <v>140</v>
      </c>
      <c r="B548">
        <v>25.4</v>
      </c>
      <c r="D548">
        <v>0.9</v>
      </c>
      <c r="G548">
        <v>0.69</v>
      </c>
      <c r="H548">
        <v>0.54</v>
      </c>
      <c r="I548">
        <v>0.52</v>
      </c>
      <c r="J548">
        <v>0.41</v>
      </c>
      <c r="K548">
        <v>0.87</v>
      </c>
      <c r="M548">
        <v>0.54</v>
      </c>
      <c r="S548">
        <v>1.04</v>
      </c>
      <c r="T548">
        <v>0.85</v>
      </c>
      <c r="AN548">
        <v>0.08</v>
      </c>
    </row>
    <row r="549" spans="1:40" x14ac:dyDescent="0.25">
      <c r="A549" s="23" t="s">
        <v>140</v>
      </c>
      <c r="B549">
        <v>25.4</v>
      </c>
      <c r="D549">
        <v>1.25</v>
      </c>
      <c r="G549">
        <v>0.95</v>
      </c>
      <c r="H549">
        <v>0.74</v>
      </c>
      <c r="I549">
        <v>0.69</v>
      </c>
      <c r="J549">
        <v>0.55000000000000004</v>
      </c>
      <c r="K549">
        <v>0.85</v>
      </c>
      <c r="M549">
        <v>0.73</v>
      </c>
      <c r="S549">
        <v>1.39</v>
      </c>
      <c r="T549">
        <v>1.1399999999999999</v>
      </c>
      <c r="AN549">
        <v>0.08</v>
      </c>
    </row>
    <row r="550" spans="1:40" x14ac:dyDescent="0.25">
      <c r="A550" s="23" t="s">
        <v>140</v>
      </c>
      <c r="B550">
        <v>25.4</v>
      </c>
      <c r="D550">
        <v>1.6</v>
      </c>
      <c r="G550">
        <v>1.2</v>
      </c>
      <c r="H550">
        <v>0.94</v>
      </c>
      <c r="I550">
        <v>0.85</v>
      </c>
      <c r="J550">
        <v>0.67</v>
      </c>
      <c r="K550">
        <v>0.84</v>
      </c>
      <c r="M550">
        <v>0.91</v>
      </c>
      <c r="S550">
        <v>1.7</v>
      </c>
      <c r="T550">
        <v>1.34</v>
      </c>
      <c r="AN550">
        <v>0.08</v>
      </c>
    </row>
    <row r="551" spans="1:40" x14ac:dyDescent="0.25">
      <c r="A551" s="23" t="s">
        <v>140</v>
      </c>
      <c r="B551">
        <v>25.4</v>
      </c>
      <c r="D551">
        <v>2</v>
      </c>
      <c r="G551">
        <v>1.47</v>
      </c>
      <c r="H551">
        <v>1.1499999999999999</v>
      </c>
      <c r="I551">
        <v>1.01</v>
      </c>
      <c r="J551">
        <v>0.8</v>
      </c>
      <c r="K551">
        <v>0.83</v>
      </c>
      <c r="M551">
        <v>1.1000000000000001</v>
      </c>
      <c r="S551">
        <v>2.0299999999999998</v>
      </c>
      <c r="T551">
        <v>1.6</v>
      </c>
      <c r="AN551">
        <v>0.08</v>
      </c>
    </row>
    <row r="552" spans="1:40" x14ac:dyDescent="0.25">
      <c r="A552" s="23" t="s">
        <v>140</v>
      </c>
      <c r="B552">
        <v>25.4</v>
      </c>
      <c r="D552">
        <v>2.5</v>
      </c>
      <c r="G552">
        <v>1.8</v>
      </c>
      <c r="H552">
        <v>1.41</v>
      </c>
      <c r="I552">
        <v>1.19</v>
      </c>
      <c r="J552">
        <v>0.94</v>
      </c>
      <c r="K552">
        <v>0.81</v>
      </c>
      <c r="M552">
        <v>1.32</v>
      </c>
      <c r="S552">
        <v>2.39</v>
      </c>
      <c r="T552">
        <v>1.88</v>
      </c>
      <c r="AN552">
        <v>0.08</v>
      </c>
    </row>
    <row r="553" spans="1:40" x14ac:dyDescent="0.25">
      <c r="A553" s="23" t="s">
        <v>140</v>
      </c>
      <c r="B553">
        <v>31.75</v>
      </c>
      <c r="D553">
        <v>0.9</v>
      </c>
      <c r="G553">
        <v>0.87</v>
      </c>
      <c r="H553">
        <v>0.68</v>
      </c>
      <c r="I553">
        <v>1.04</v>
      </c>
      <c r="J553">
        <v>0.65</v>
      </c>
      <c r="K553">
        <v>1.0900000000000001</v>
      </c>
      <c r="M553">
        <v>0.86</v>
      </c>
      <c r="S553">
        <v>2.08</v>
      </c>
      <c r="T553">
        <v>1.34</v>
      </c>
      <c r="AN553">
        <v>0.1</v>
      </c>
    </row>
    <row r="554" spans="1:40" x14ac:dyDescent="0.25">
      <c r="A554" s="23" t="s">
        <v>140</v>
      </c>
      <c r="B554">
        <v>31.75</v>
      </c>
      <c r="D554">
        <v>1.25</v>
      </c>
      <c r="G554">
        <v>1.2</v>
      </c>
      <c r="H554">
        <v>0.94</v>
      </c>
      <c r="I554">
        <v>1.4</v>
      </c>
      <c r="J554">
        <v>0.88</v>
      </c>
      <c r="K554">
        <v>1.08</v>
      </c>
      <c r="M554">
        <v>1.1599999999999999</v>
      </c>
      <c r="S554">
        <v>2.79</v>
      </c>
      <c r="T554">
        <v>1.83</v>
      </c>
      <c r="AN554">
        <v>0.1</v>
      </c>
    </row>
    <row r="555" spans="1:40" x14ac:dyDescent="0.25">
      <c r="A555" s="23" t="s">
        <v>140</v>
      </c>
      <c r="B555">
        <v>31.75</v>
      </c>
      <c r="D555">
        <v>1.6</v>
      </c>
      <c r="G555">
        <v>1.52</v>
      </c>
      <c r="H555">
        <v>1.19</v>
      </c>
      <c r="I555">
        <v>1.73</v>
      </c>
      <c r="J555">
        <v>1.0900000000000001</v>
      </c>
      <c r="K555">
        <v>1.07</v>
      </c>
      <c r="M555">
        <v>1.46</v>
      </c>
      <c r="S555">
        <v>3.45</v>
      </c>
      <c r="T555">
        <v>2.1800000000000002</v>
      </c>
      <c r="AN555">
        <v>0.1</v>
      </c>
    </row>
    <row r="556" spans="1:40" x14ac:dyDescent="0.25">
      <c r="A556" s="23" t="s">
        <v>140</v>
      </c>
      <c r="B556">
        <v>31.75</v>
      </c>
      <c r="D556">
        <v>2</v>
      </c>
      <c r="G556">
        <v>1.87</v>
      </c>
      <c r="H556">
        <v>1.47</v>
      </c>
      <c r="I556">
        <v>2.08</v>
      </c>
      <c r="J556">
        <v>1.31</v>
      </c>
      <c r="K556">
        <v>1.05</v>
      </c>
      <c r="M556">
        <v>1.77</v>
      </c>
      <c r="S556">
        <v>4.1500000000000004</v>
      </c>
      <c r="T556">
        <v>2.62</v>
      </c>
      <c r="AN556">
        <v>0.1</v>
      </c>
    </row>
    <row r="557" spans="1:40" x14ac:dyDescent="0.25">
      <c r="A557" s="23" t="s">
        <v>140</v>
      </c>
      <c r="B557">
        <v>31.75</v>
      </c>
      <c r="D557">
        <v>2.5</v>
      </c>
      <c r="G557">
        <v>2.2999999999999998</v>
      </c>
      <c r="H557">
        <v>1.8</v>
      </c>
      <c r="I557">
        <v>2.4700000000000002</v>
      </c>
      <c r="J557">
        <v>1.56</v>
      </c>
      <c r="K557">
        <v>1.04</v>
      </c>
      <c r="M557">
        <v>2.14</v>
      </c>
      <c r="S557">
        <v>4.95</v>
      </c>
      <c r="T557">
        <v>3.12</v>
      </c>
      <c r="AN557">
        <v>0.1</v>
      </c>
    </row>
    <row r="558" spans="1:40" x14ac:dyDescent="0.25">
      <c r="A558" s="23" t="s">
        <v>140</v>
      </c>
      <c r="B558">
        <v>31.75</v>
      </c>
      <c r="D558">
        <v>3.2</v>
      </c>
      <c r="G558">
        <v>2.87</v>
      </c>
      <c r="H558">
        <v>2.25</v>
      </c>
      <c r="I558">
        <v>2.96</v>
      </c>
      <c r="J558">
        <v>1.87</v>
      </c>
      <c r="K558">
        <v>1.02</v>
      </c>
      <c r="M558">
        <v>2.62</v>
      </c>
      <c r="S558">
        <v>5.92</v>
      </c>
      <c r="T558">
        <v>3.73</v>
      </c>
      <c r="AN558">
        <v>0.1</v>
      </c>
    </row>
    <row r="559" spans="1:40" x14ac:dyDescent="0.25">
      <c r="A559" s="23" t="s">
        <v>140</v>
      </c>
      <c r="B559">
        <v>38.1</v>
      </c>
      <c r="D559">
        <v>0.9</v>
      </c>
      <c r="G559">
        <v>1.05</v>
      </c>
      <c r="H559">
        <v>0.83</v>
      </c>
      <c r="I559">
        <v>1.82</v>
      </c>
      <c r="J559">
        <v>0.96</v>
      </c>
      <c r="K559">
        <v>1.32</v>
      </c>
      <c r="M559">
        <v>1.25</v>
      </c>
      <c r="S559">
        <v>3.64</v>
      </c>
      <c r="T559">
        <v>1.96</v>
      </c>
      <c r="AN559">
        <v>0.12</v>
      </c>
    </row>
    <row r="560" spans="1:40" x14ac:dyDescent="0.25">
      <c r="A560" s="23" t="s">
        <v>140</v>
      </c>
      <c r="B560">
        <v>38.1</v>
      </c>
      <c r="D560">
        <v>1.25</v>
      </c>
      <c r="G560">
        <v>1.45</v>
      </c>
      <c r="H560">
        <v>1.1399999999999999</v>
      </c>
      <c r="I560">
        <v>2.46</v>
      </c>
      <c r="J560">
        <v>1.29</v>
      </c>
      <c r="K560">
        <v>1.3</v>
      </c>
      <c r="M560">
        <v>1.7</v>
      </c>
      <c r="S560">
        <v>4.92</v>
      </c>
      <c r="T560">
        <v>2.66</v>
      </c>
      <c r="AN560">
        <v>0.12</v>
      </c>
    </row>
    <row r="561" spans="1:40" x14ac:dyDescent="0.25">
      <c r="A561" s="23" t="s">
        <v>140</v>
      </c>
      <c r="B561">
        <v>38.1</v>
      </c>
      <c r="D561">
        <v>1.6</v>
      </c>
      <c r="G561">
        <v>1.83</v>
      </c>
      <c r="H561">
        <v>1.44</v>
      </c>
      <c r="I561">
        <v>3.06</v>
      </c>
      <c r="J561">
        <v>1.61</v>
      </c>
      <c r="K561">
        <v>1.29</v>
      </c>
      <c r="M561">
        <v>2.13</v>
      </c>
      <c r="S561">
        <v>6.12</v>
      </c>
      <c r="T561">
        <v>3.35</v>
      </c>
      <c r="AN561">
        <v>0.12</v>
      </c>
    </row>
    <row r="562" spans="1:40" x14ac:dyDescent="0.25">
      <c r="A562" s="23" t="s">
        <v>140</v>
      </c>
      <c r="B562">
        <v>38.1</v>
      </c>
      <c r="D562">
        <v>2</v>
      </c>
      <c r="G562">
        <v>2.27</v>
      </c>
      <c r="H562">
        <v>1.78</v>
      </c>
      <c r="I562">
        <v>3.71</v>
      </c>
      <c r="J562">
        <v>1.95</v>
      </c>
      <c r="K562">
        <v>1.28</v>
      </c>
      <c r="M562">
        <v>2.61</v>
      </c>
      <c r="S562">
        <v>7.41</v>
      </c>
      <c r="T562">
        <v>3.89</v>
      </c>
      <c r="AN562">
        <v>0.12</v>
      </c>
    </row>
    <row r="563" spans="1:40" x14ac:dyDescent="0.25">
      <c r="A563" s="23" t="s">
        <v>140</v>
      </c>
      <c r="B563">
        <v>38.1</v>
      </c>
      <c r="D563">
        <v>2.5</v>
      </c>
      <c r="G563">
        <v>2.8</v>
      </c>
      <c r="H563">
        <v>2.19</v>
      </c>
      <c r="I563">
        <v>4.45</v>
      </c>
      <c r="J563">
        <v>2.34</v>
      </c>
      <c r="K563">
        <v>1.26</v>
      </c>
      <c r="M563">
        <v>3.17</v>
      </c>
      <c r="S563">
        <v>8.9</v>
      </c>
      <c r="T563">
        <v>4.67</v>
      </c>
      <c r="AN563">
        <v>0.12</v>
      </c>
    </row>
    <row r="564" spans="1:40" x14ac:dyDescent="0.25">
      <c r="A564" s="23" t="s">
        <v>140</v>
      </c>
      <c r="B564">
        <v>38.1</v>
      </c>
      <c r="D564">
        <v>3.2</v>
      </c>
      <c r="G564">
        <v>3.51</v>
      </c>
      <c r="H564">
        <v>2.75</v>
      </c>
      <c r="I564">
        <v>5.39</v>
      </c>
      <c r="J564">
        <v>2.83</v>
      </c>
      <c r="K564">
        <v>1.24</v>
      </c>
      <c r="M564">
        <v>3.91</v>
      </c>
      <c r="S564">
        <v>10.77</v>
      </c>
      <c r="T564">
        <v>5.66</v>
      </c>
      <c r="AN564">
        <v>0.12</v>
      </c>
    </row>
    <row r="565" spans="1:40" x14ac:dyDescent="0.25">
      <c r="A565" s="23" t="s">
        <v>140</v>
      </c>
      <c r="B565">
        <v>44.45</v>
      </c>
      <c r="D565">
        <v>0.9</v>
      </c>
      <c r="G565">
        <v>1.23</v>
      </c>
      <c r="H565">
        <v>0.97</v>
      </c>
      <c r="I565">
        <v>2.92</v>
      </c>
      <c r="J565">
        <v>1.31</v>
      </c>
      <c r="K565">
        <v>1.54</v>
      </c>
      <c r="M565">
        <v>1.71</v>
      </c>
      <c r="S565">
        <v>5.84</v>
      </c>
      <c r="T565">
        <v>2.68</v>
      </c>
      <c r="AN565">
        <v>0.14000000000000001</v>
      </c>
    </row>
    <row r="566" spans="1:40" x14ac:dyDescent="0.25">
      <c r="A566" s="23" t="s">
        <v>140</v>
      </c>
      <c r="B566">
        <v>44.45</v>
      </c>
      <c r="D566">
        <v>1.25</v>
      </c>
      <c r="G566">
        <v>1.7</v>
      </c>
      <c r="H566">
        <v>1.33</v>
      </c>
      <c r="I566">
        <v>3.96</v>
      </c>
      <c r="J566">
        <v>1.78</v>
      </c>
      <c r="K566">
        <v>1.53</v>
      </c>
      <c r="M566">
        <v>2.33</v>
      </c>
      <c r="S566">
        <v>7.92</v>
      </c>
      <c r="T566">
        <v>3.66</v>
      </c>
      <c r="AN566">
        <v>0.14000000000000001</v>
      </c>
    </row>
    <row r="567" spans="1:40" x14ac:dyDescent="0.25">
      <c r="A567" s="23" t="s">
        <v>140</v>
      </c>
      <c r="B567">
        <v>44.45</v>
      </c>
      <c r="D567">
        <v>1.6</v>
      </c>
      <c r="G567">
        <v>2.15</v>
      </c>
      <c r="H567">
        <v>1.69</v>
      </c>
      <c r="I567">
        <v>4.95</v>
      </c>
      <c r="J567">
        <v>2.23</v>
      </c>
      <c r="K567">
        <v>1.52</v>
      </c>
      <c r="M567">
        <v>2.94</v>
      </c>
      <c r="S567">
        <v>9.9</v>
      </c>
      <c r="T567">
        <v>4.6100000000000003</v>
      </c>
      <c r="AN567">
        <v>0.14000000000000001</v>
      </c>
    </row>
    <row r="568" spans="1:40" x14ac:dyDescent="0.25">
      <c r="A568" s="23" t="s">
        <v>140</v>
      </c>
      <c r="B568">
        <v>44.45</v>
      </c>
      <c r="D568">
        <v>2</v>
      </c>
      <c r="G568">
        <v>2.67</v>
      </c>
      <c r="H568">
        <v>2.09</v>
      </c>
      <c r="I568">
        <v>6.02</v>
      </c>
      <c r="J568">
        <v>2.71</v>
      </c>
      <c r="K568">
        <v>1.5</v>
      </c>
      <c r="M568">
        <v>3.61</v>
      </c>
      <c r="S568">
        <v>12.04</v>
      </c>
      <c r="T568">
        <v>5.66</v>
      </c>
      <c r="AN568">
        <v>0.14000000000000001</v>
      </c>
    </row>
    <row r="569" spans="1:40" x14ac:dyDescent="0.25">
      <c r="A569" s="23" t="s">
        <v>140</v>
      </c>
      <c r="B569">
        <v>44.45</v>
      </c>
      <c r="D569">
        <v>2.5</v>
      </c>
      <c r="G569">
        <v>3.29</v>
      </c>
      <c r="H569">
        <v>2.59</v>
      </c>
      <c r="I569">
        <v>7.27</v>
      </c>
      <c r="J569">
        <v>3.27</v>
      </c>
      <c r="K569">
        <v>1.49</v>
      </c>
      <c r="M569">
        <v>4.41</v>
      </c>
      <c r="S569">
        <v>14.55</v>
      </c>
      <c r="T569">
        <v>6.55</v>
      </c>
      <c r="AN569">
        <v>0.14000000000000001</v>
      </c>
    </row>
    <row r="570" spans="1:40" x14ac:dyDescent="0.25">
      <c r="A570" s="23" t="s">
        <v>140</v>
      </c>
      <c r="B570">
        <v>44.45</v>
      </c>
      <c r="D570">
        <v>3.2</v>
      </c>
      <c r="G570">
        <v>4.1500000000000004</v>
      </c>
      <c r="H570">
        <v>3.26</v>
      </c>
      <c r="I570">
        <v>8.8699999999999992</v>
      </c>
      <c r="J570">
        <v>3.99</v>
      </c>
      <c r="K570">
        <v>1.46</v>
      </c>
      <c r="M570">
        <v>5.46</v>
      </c>
      <c r="S570">
        <v>17.75</v>
      </c>
      <c r="T570">
        <v>7.98</v>
      </c>
      <c r="AN570">
        <v>0.14000000000000001</v>
      </c>
    </row>
    <row r="571" spans="1:40" x14ac:dyDescent="0.25">
      <c r="A571" s="23" t="s">
        <v>140</v>
      </c>
      <c r="B571">
        <v>50.8</v>
      </c>
      <c r="D571">
        <v>0.9</v>
      </c>
      <c r="G571">
        <v>1.41</v>
      </c>
      <c r="H571">
        <v>1.1100000000000001</v>
      </c>
      <c r="I571">
        <v>4.3899999999999997</v>
      </c>
      <c r="J571">
        <v>1.73</v>
      </c>
      <c r="K571">
        <v>1.76</v>
      </c>
      <c r="M571">
        <v>2.2400000000000002</v>
      </c>
      <c r="S571">
        <v>8.7899999999999991</v>
      </c>
      <c r="T571">
        <v>3.52</v>
      </c>
      <c r="AN571">
        <v>0.16</v>
      </c>
    </row>
    <row r="572" spans="1:40" x14ac:dyDescent="0.25">
      <c r="A572" s="23" t="s">
        <v>140</v>
      </c>
      <c r="B572">
        <v>50.8</v>
      </c>
      <c r="D572">
        <v>1.25</v>
      </c>
      <c r="G572">
        <v>1.95</v>
      </c>
      <c r="H572">
        <v>1.53</v>
      </c>
      <c r="I572">
        <v>5.98</v>
      </c>
      <c r="J572">
        <v>2.35</v>
      </c>
      <c r="K572">
        <v>1.75</v>
      </c>
      <c r="M572">
        <v>3.07</v>
      </c>
      <c r="S572">
        <v>11.95</v>
      </c>
      <c r="T572">
        <v>4.82</v>
      </c>
      <c r="AN572">
        <v>0.16</v>
      </c>
    </row>
    <row r="573" spans="1:40" x14ac:dyDescent="0.25">
      <c r="A573" s="23" t="s">
        <v>140</v>
      </c>
      <c r="B573">
        <v>50.8</v>
      </c>
      <c r="D573">
        <v>1.6</v>
      </c>
      <c r="G573">
        <v>2.4700000000000002</v>
      </c>
      <c r="H573">
        <v>1.94</v>
      </c>
      <c r="I573">
        <v>7.49</v>
      </c>
      <c r="J573">
        <v>2.95</v>
      </c>
      <c r="K573">
        <v>1.74</v>
      </c>
      <c r="M573">
        <v>3.88</v>
      </c>
      <c r="S573">
        <v>14.98</v>
      </c>
      <c r="T573">
        <v>6.08</v>
      </c>
      <c r="AN573">
        <v>0.16</v>
      </c>
    </row>
    <row r="574" spans="1:40" x14ac:dyDescent="0.25">
      <c r="A574" s="23" t="s">
        <v>140</v>
      </c>
      <c r="B574">
        <v>50.8</v>
      </c>
      <c r="D574">
        <v>2</v>
      </c>
      <c r="G574">
        <v>3.07</v>
      </c>
      <c r="H574">
        <v>2.41</v>
      </c>
      <c r="I574">
        <v>9.14</v>
      </c>
      <c r="J574">
        <v>3.6</v>
      </c>
      <c r="K574">
        <v>1.73</v>
      </c>
      <c r="M574">
        <v>4.7699999999999996</v>
      </c>
      <c r="S574">
        <v>18.29</v>
      </c>
      <c r="T574">
        <v>7.48</v>
      </c>
      <c r="AN574">
        <v>0.16</v>
      </c>
    </row>
    <row r="575" spans="1:40" x14ac:dyDescent="0.25">
      <c r="A575" s="23" t="s">
        <v>140</v>
      </c>
      <c r="B575">
        <v>50.8</v>
      </c>
      <c r="D575">
        <v>2.5</v>
      </c>
      <c r="G575">
        <v>3.79</v>
      </c>
      <c r="H575">
        <v>2.98</v>
      </c>
      <c r="I575">
        <v>11.09</v>
      </c>
      <c r="J575">
        <v>4.37</v>
      </c>
      <c r="K575">
        <v>1.71</v>
      </c>
      <c r="M575">
        <v>5.84</v>
      </c>
      <c r="S575">
        <v>22.18</v>
      </c>
      <c r="T575">
        <v>9.16</v>
      </c>
      <c r="AN575">
        <v>0.16</v>
      </c>
    </row>
    <row r="576" spans="1:40" x14ac:dyDescent="0.25">
      <c r="A576" s="23" t="s">
        <v>140</v>
      </c>
      <c r="B576">
        <v>50.8</v>
      </c>
      <c r="D576">
        <v>3.2</v>
      </c>
      <c r="G576">
        <v>4.79</v>
      </c>
      <c r="H576">
        <v>3.76</v>
      </c>
      <c r="I576">
        <v>13.61</v>
      </c>
      <c r="J576">
        <v>5.36</v>
      </c>
      <c r="K576">
        <v>1.69</v>
      </c>
      <c r="M576">
        <v>7.26</v>
      </c>
      <c r="S576">
        <v>27.23</v>
      </c>
      <c r="T576">
        <v>10.72</v>
      </c>
      <c r="AN576">
        <v>0.16</v>
      </c>
    </row>
    <row r="577" spans="1:40" x14ac:dyDescent="0.25">
      <c r="A577" s="23" t="s">
        <v>140</v>
      </c>
      <c r="B577">
        <v>57.15</v>
      </c>
      <c r="D577">
        <v>0.9</v>
      </c>
      <c r="G577">
        <v>1.59</v>
      </c>
      <c r="H577">
        <v>1.25</v>
      </c>
      <c r="I577">
        <v>6.29</v>
      </c>
      <c r="J577">
        <v>2.2000000000000002</v>
      </c>
      <c r="K577">
        <v>1.99</v>
      </c>
      <c r="M577">
        <v>2.85</v>
      </c>
      <c r="S577">
        <v>12.58</v>
      </c>
      <c r="T577">
        <v>4.47</v>
      </c>
      <c r="AN577">
        <v>0.18</v>
      </c>
    </row>
    <row r="578" spans="1:40" x14ac:dyDescent="0.25">
      <c r="A578" s="23" t="s">
        <v>140</v>
      </c>
      <c r="B578">
        <v>57.15</v>
      </c>
      <c r="D578">
        <v>1.25</v>
      </c>
      <c r="G578">
        <v>2.2000000000000002</v>
      </c>
      <c r="H578">
        <v>1.72</v>
      </c>
      <c r="I578">
        <v>8.58</v>
      </c>
      <c r="J578">
        <v>3</v>
      </c>
      <c r="K578">
        <v>1.98</v>
      </c>
      <c r="M578">
        <v>3.91</v>
      </c>
      <c r="S578">
        <v>17.16</v>
      </c>
      <c r="T578">
        <v>6.13</v>
      </c>
      <c r="AN578">
        <v>0.18</v>
      </c>
    </row>
    <row r="579" spans="1:40" x14ac:dyDescent="0.25">
      <c r="A579" s="23" t="s">
        <v>140</v>
      </c>
      <c r="B579">
        <v>57.15</v>
      </c>
      <c r="D579">
        <v>1.6</v>
      </c>
      <c r="G579">
        <v>2.79</v>
      </c>
      <c r="H579">
        <v>2.19</v>
      </c>
      <c r="I579">
        <v>10.78</v>
      </c>
      <c r="J579">
        <v>3.77</v>
      </c>
      <c r="K579">
        <v>1.96</v>
      </c>
      <c r="M579">
        <v>4.9400000000000004</v>
      </c>
      <c r="S579">
        <v>21.56</v>
      </c>
      <c r="T579">
        <v>7.75</v>
      </c>
      <c r="AN579">
        <v>0.18</v>
      </c>
    </row>
    <row r="580" spans="1:40" x14ac:dyDescent="0.25">
      <c r="A580" s="23" t="s">
        <v>140</v>
      </c>
      <c r="B580">
        <v>57.15</v>
      </c>
      <c r="D580">
        <v>2</v>
      </c>
      <c r="G580">
        <v>3.47</v>
      </c>
      <c r="H580">
        <v>2.72</v>
      </c>
      <c r="I580">
        <v>13.19</v>
      </c>
      <c r="J580">
        <v>4.62</v>
      </c>
      <c r="K580">
        <v>1.95</v>
      </c>
      <c r="M580">
        <v>6.09</v>
      </c>
      <c r="S580">
        <v>26.38</v>
      </c>
      <c r="T580">
        <v>9.5500000000000007</v>
      </c>
      <c r="AN580">
        <v>0.18</v>
      </c>
    </row>
    <row r="581" spans="1:40" x14ac:dyDescent="0.25">
      <c r="A581" s="23" t="s">
        <v>140</v>
      </c>
      <c r="B581">
        <v>57.15</v>
      </c>
      <c r="D581">
        <v>2.5</v>
      </c>
      <c r="G581">
        <v>4.29</v>
      </c>
      <c r="H581">
        <v>3.37</v>
      </c>
      <c r="I581">
        <v>16.059999999999999</v>
      </c>
      <c r="J581">
        <v>5.62</v>
      </c>
      <c r="K581">
        <v>1.93</v>
      </c>
      <c r="M581">
        <v>7.47</v>
      </c>
      <c r="S581">
        <v>32.11</v>
      </c>
      <c r="T581">
        <v>11.72</v>
      </c>
      <c r="AN581">
        <v>0.18</v>
      </c>
    </row>
    <row r="582" spans="1:40" x14ac:dyDescent="0.25">
      <c r="A582" s="23" t="s">
        <v>140</v>
      </c>
      <c r="B582">
        <v>57.15</v>
      </c>
      <c r="D582">
        <v>3.2</v>
      </c>
      <c r="G582">
        <v>5.42</v>
      </c>
      <c r="H582">
        <v>4.26</v>
      </c>
      <c r="I582">
        <v>19.8</v>
      </c>
      <c r="J582">
        <v>6.93</v>
      </c>
      <c r="K582">
        <v>1.91</v>
      </c>
      <c r="M582">
        <v>9.33</v>
      </c>
      <c r="S582">
        <v>39.6</v>
      </c>
      <c r="T582">
        <v>13.86</v>
      </c>
      <c r="AN582">
        <v>0.18</v>
      </c>
    </row>
    <row r="583" spans="1:40" x14ac:dyDescent="0.25">
      <c r="A583" s="23" t="s">
        <v>140</v>
      </c>
      <c r="B583">
        <v>63.5</v>
      </c>
      <c r="D583">
        <v>1.25</v>
      </c>
      <c r="G583">
        <v>2.44</v>
      </c>
      <c r="H583">
        <v>1.92</v>
      </c>
      <c r="I583">
        <v>11.85</v>
      </c>
      <c r="J583">
        <v>3.73</v>
      </c>
      <c r="K583">
        <v>2.2000000000000002</v>
      </c>
      <c r="M583">
        <v>4.8499999999999996</v>
      </c>
      <c r="S583">
        <v>23.69</v>
      </c>
      <c r="T583">
        <v>7.6</v>
      </c>
      <c r="AN583">
        <v>0.2</v>
      </c>
    </row>
    <row r="584" spans="1:40" x14ac:dyDescent="0.25">
      <c r="A584" s="23" t="s">
        <v>140</v>
      </c>
      <c r="B584">
        <v>63.5</v>
      </c>
      <c r="D584">
        <v>1.6</v>
      </c>
      <c r="G584">
        <v>3.11</v>
      </c>
      <c r="H584">
        <v>2.44</v>
      </c>
      <c r="I584">
        <v>14.91</v>
      </c>
      <c r="J584">
        <v>4.7</v>
      </c>
      <c r="K584">
        <v>2.19</v>
      </c>
      <c r="M584">
        <v>6.13</v>
      </c>
      <c r="S584">
        <v>29.82</v>
      </c>
      <c r="T584">
        <v>9.6300000000000008</v>
      </c>
      <c r="AN584">
        <v>0.2</v>
      </c>
    </row>
    <row r="585" spans="1:40" x14ac:dyDescent="0.25">
      <c r="A585" s="23" t="s">
        <v>140</v>
      </c>
      <c r="B585">
        <v>63.5</v>
      </c>
      <c r="D585">
        <v>2</v>
      </c>
      <c r="G585">
        <v>3.86</v>
      </c>
      <c r="H585">
        <v>3.03</v>
      </c>
      <c r="I585">
        <v>18.29</v>
      </c>
      <c r="J585">
        <v>5.76</v>
      </c>
      <c r="K585">
        <v>2.1800000000000002</v>
      </c>
      <c r="M585">
        <v>7.57</v>
      </c>
      <c r="S585">
        <v>36.58</v>
      </c>
      <c r="T585">
        <v>11.88</v>
      </c>
      <c r="AN585">
        <v>0.2</v>
      </c>
    </row>
    <row r="586" spans="1:40" x14ac:dyDescent="0.25">
      <c r="A586" s="23" t="s">
        <v>140</v>
      </c>
      <c r="B586">
        <v>63.5</v>
      </c>
      <c r="D586">
        <v>2.5</v>
      </c>
      <c r="G586">
        <v>4.79</v>
      </c>
      <c r="H586">
        <v>3.76</v>
      </c>
      <c r="I586">
        <v>22.32</v>
      </c>
      <c r="J586">
        <v>7.03</v>
      </c>
      <c r="K586">
        <v>2.16</v>
      </c>
      <c r="M586">
        <v>9.31</v>
      </c>
      <c r="S586">
        <v>44.64</v>
      </c>
      <c r="T586">
        <v>14.6</v>
      </c>
      <c r="AN586">
        <v>0.2</v>
      </c>
    </row>
    <row r="587" spans="1:40" x14ac:dyDescent="0.25">
      <c r="A587" s="23" t="s">
        <v>140</v>
      </c>
      <c r="B587">
        <v>63.5</v>
      </c>
      <c r="D587">
        <v>3.2</v>
      </c>
      <c r="G587">
        <v>6.06</v>
      </c>
      <c r="H587">
        <v>4.76</v>
      </c>
      <c r="I587">
        <v>27.63</v>
      </c>
      <c r="J587">
        <v>8.6999999999999993</v>
      </c>
      <c r="K587">
        <v>2.13</v>
      </c>
      <c r="M587">
        <v>11.65</v>
      </c>
      <c r="S587">
        <v>55.26</v>
      </c>
      <c r="T587">
        <v>17.399999999999999</v>
      </c>
      <c r="AN587">
        <v>0.2</v>
      </c>
    </row>
    <row r="588" spans="1:40" x14ac:dyDescent="0.25">
      <c r="A588" s="23" t="s">
        <v>140</v>
      </c>
      <c r="B588">
        <v>63.5</v>
      </c>
      <c r="D588">
        <v>4</v>
      </c>
      <c r="G588">
        <v>7.48</v>
      </c>
      <c r="H588">
        <v>5.87</v>
      </c>
      <c r="I588">
        <v>33.24</v>
      </c>
      <c r="J588">
        <v>10.47</v>
      </c>
      <c r="K588">
        <v>2.11</v>
      </c>
      <c r="M588">
        <v>14.19</v>
      </c>
      <c r="S588">
        <v>66.47</v>
      </c>
      <c r="T588">
        <v>20.94</v>
      </c>
      <c r="AN588">
        <v>0.2</v>
      </c>
    </row>
    <row r="589" spans="1:40" x14ac:dyDescent="0.25">
      <c r="A589" s="23" t="s">
        <v>140</v>
      </c>
      <c r="B589">
        <v>76.2</v>
      </c>
      <c r="D589">
        <v>1.6</v>
      </c>
      <c r="G589">
        <v>3.75</v>
      </c>
      <c r="H589">
        <v>2.94</v>
      </c>
      <c r="I589">
        <v>26.1</v>
      </c>
      <c r="J589">
        <v>6.85</v>
      </c>
      <c r="K589">
        <v>2.64</v>
      </c>
      <c r="M589">
        <v>8.91</v>
      </c>
      <c r="S589">
        <v>52.19</v>
      </c>
      <c r="T589">
        <v>13.98</v>
      </c>
      <c r="AN589">
        <v>0.24</v>
      </c>
    </row>
    <row r="590" spans="1:40" x14ac:dyDescent="0.25">
      <c r="A590" s="23" t="s">
        <v>140</v>
      </c>
      <c r="B590">
        <v>76.2</v>
      </c>
      <c r="D590">
        <v>2</v>
      </c>
      <c r="G590">
        <v>4.66</v>
      </c>
      <c r="H590">
        <v>3.66</v>
      </c>
      <c r="I590">
        <v>32.11</v>
      </c>
      <c r="J590">
        <v>8.43</v>
      </c>
      <c r="K590">
        <v>2.62</v>
      </c>
      <c r="M590">
        <v>11.02</v>
      </c>
      <c r="S590">
        <v>64.22</v>
      </c>
      <c r="T590">
        <v>17.29</v>
      </c>
      <c r="AN590">
        <v>0.24</v>
      </c>
    </row>
    <row r="591" spans="1:40" x14ac:dyDescent="0.25">
      <c r="A591" s="23" t="s">
        <v>140</v>
      </c>
      <c r="B591">
        <v>76.2</v>
      </c>
      <c r="D591">
        <v>2.5</v>
      </c>
      <c r="G591">
        <v>5.79</v>
      </c>
      <c r="H591">
        <v>4.54</v>
      </c>
      <c r="I591">
        <v>39.35</v>
      </c>
      <c r="J591">
        <v>10.33</v>
      </c>
      <c r="K591">
        <v>2.61</v>
      </c>
      <c r="M591">
        <v>13.59</v>
      </c>
      <c r="S591">
        <v>78.69</v>
      </c>
      <c r="T591">
        <v>21.32</v>
      </c>
      <c r="AN591">
        <v>0.24</v>
      </c>
    </row>
    <row r="592" spans="1:40" x14ac:dyDescent="0.25">
      <c r="A592" s="23" t="s">
        <v>140</v>
      </c>
      <c r="B592">
        <v>76.2</v>
      </c>
      <c r="D592">
        <v>3.2</v>
      </c>
      <c r="G592">
        <v>7.34</v>
      </c>
      <c r="H592">
        <v>5.76</v>
      </c>
      <c r="I592">
        <v>48.98</v>
      </c>
      <c r="J592">
        <v>12.86</v>
      </c>
      <c r="K592">
        <v>2.58</v>
      </c>
      <c r="M592">
        <v>17.07</v>
      </c>
      <c r="S592">
        <v>97.96</v>
      </c>
      <c r="T592">
        <v>26.77</v>
      </c>
      <c r="AN592">
        <v>0.24</v>
      </c>
    </row>
    <row r="593" spans="1:40" x14ac:dyDescent="0.25">
      <c r="A593" s="23" t="s">
        <v>140</v>
      </c>
      <c r="B593">
        <v>76.2</v>
      </c>
      <c r="D593">
        <v>4</v>
      </c>
      <c r="G593">
        <v>9.07</v>
      </c>
      <c r="H593">
        <v>7.12</v>
      </c>
      <c r="I593">
        <v>59.3</v>
      </c>
      <c r="J593">
        <v>15.56</v>
      </c>
      <c r="K593">
        <v>2.56</v>
      </c>
      <c r="M593">
        <v>20.88</v>
      </c>
      <c r="S593">
        <v>118.6</v>
      </c>
      <c r="T593">
        <v>31.13</v>
      </c>
      <c r="AN593">
        <v>0.24</v>
      </c>
    </row>
    <row r="594" spans="1:40" x14ac:dyDescent="0.25">
      <c r="A594" s="23" t="s">
        <v>140</v>
      </c>
      <c r="B594">
        <v>76.2</v>
      </c>
      <c r="D594">
        <v>4.76</v>
      </c>
      <c r="G594">
        <v>10.68</v>
      </c>
      <c r="H594">
        <v>8.39</v>
      </c>
      <c r="I594">
        <v>68.459999999999994</v>
      </c>
      <c r="J594">
        <v>17.97</v>
      </c>
      <c r="K594">
        <v>2.5299999999999998</v>
      </c>
      <c r="M594">
        <v>24.33</v>
      </c>
      <c r="S594">
        <v>136.91</v>
      </c>
      <c r="T594">
        <v>35.93</v>
      </c>
      <c r="AN594">
        <v>0.24</v>
      </c>
    </row>
    <row r="595" spans="1:40" x14ac:dyDescent="0.25">
      <c r="A595" s="23" t="s">
        <v>140</v>
      </c>
      <c r="B595">
        <v>88.9</v>
      </c>
      <c r="D595">
        <v>2.5</v>
      </c>
      <c r="G595">
        <v>6.79</v>
      </c>
      <c r="H595">
        <v>5.33</v>
      </c>
      <c r="I595">
        <v>63.37</v>
      </c>
      <c r="J595">
        <v>14.26</v>
      </c>
      <c r="K595">
        <v>3.06</v>
      </c>
      <c r="M595">
        <v>18.670000000000002</v>
      </c>
      <c r="S595">
        <v>126.75</v>
      </c>
      <c r="T595">
        <v>29.3</v>
      </c>
      <c r="AN595">
        <v>0.28000000000000003</v>
      </c>
    </row>
    <row r="596" spans="1:40" x14ac:dyDescent="0.25">
      <c r="A596" s="23" t="s">
        <v>140</v>
      </c>
      <c r="B596">
        <v>88.9</v>
      </c>
      <c r="D596">
        <v>3.2</v>
      </c>
      <c r="G596">
        <v>8.6199999999999992</v>
      </c>
      <c r="H596">
        <v>6.76</v>
      </c>
      <c r="I596">
        <v>79.209999999999994</v>
      </c>
      <c r="J596">
        <v>17.82</v>
      </c>
      <c r="K596">
        <v>3.03</v>
      </c>
      <c r="M596">
        <v>23.52</v>
      </c>
      <c r="S596">
        <v>158.41</v>
      </c>
      <c r="T596">
        <v>36.9</v>
      </c>
      <c r="AN596">
        <v>0.28000000000000003</v>
      </c>
    </row>
    <row r="597" spans="1:40" x14ac:dyDescent="0.25">
      <c r="A597" s="23" t="s">
        <v>140</v>
      </c>
      <c r="B597">
        <v>88.9</v>
      </c>
      <c r="D597">
        <v>4</v>
      </c>
      <c r="G597">
        <v>10.67</v>
      </c>
      <c r="H597">
        <v>8.3800000000000008</v>
      </c>
      <c r="I597">
        <v>96.34</v>
      </c>
      <c r="J597">
        <v>21.67</v>
      </c>
      <c r="K597">
        <v>3</v>
      </c>
      <c r="M597">
        <v>28.86</v>
      </c>
      <c r="S597">
        <v>192.68</v>
      </c>
      <c r="T597">
        <v>45.27</v>
      </c>
      <c r="AN597">
        <v>0.28000000000000003</v>
      </c>
    </row>
    <row r="598" spans="1:40" x14ac:dyDescent="0.25">
      <c r="A598" s="23" t="s">
        <v>140</v>
      </c>
      <c r="B598">
        <v>88.9</v>
      </c>
      <c r="D598">
        <v>4.76</v>
      </c>
      <c r="G598">
        <v>12.58</v>
      </c>
      <c r="H598">
        <v>9.8800000000000008</v>
      </c>
      <c r="I598">
        <v>111.7</v>
      </c>
      <c r="J598">
        <v>25.13</v>
      </c>
      <c r="K598">
        <v>2.98</v>
      </c>
      <c r="M598">
        <v>33.74</v>
      </c>
      <c r="S598">
        <v>223.4</v>
      </c>
      <c r="T598">
        <v>50.26</v>
      </c>
      <c r="AN598">
        <v>0.28000000000000003</v>
      </c>
    </row>
    <row r="599" spans="1:40" x14ac:dyDescent="0.25">
      <c r="A599" s="23" t="s">
        <v>140</v>
      </c>
      <c r="B599">
        <v>88.9</v>
      </c>
      <c r="D599">
        <v>5.5</v>
      </c>
      <c r="G599">
        <v>14.41</v>
      </c>
      <c r="H599">
        <v>11.31</v>
      </c>
      <c r="I599">
        <v>125.84</v>
      </c>
      <c r="J599">
        <v>28.31</v>
      </c>
      <c r="K599">
        <v>2.96</v>
      </c>
      <c r="M599">
        <v>38.32</v>
      </c>
      <c r="S599">
        <v>251.67</v>
      </c>
      <c r="T599">
        <v>56.62</v>
      </c>
      <c r="AN599">
        <v>0.28000000000000003</v>
      </c>
    </row>
    <row r="600" spans="1:40" x14ac:dyDescent="0.25">
      <c r="A600" s="23" t="s">
        <v>140</v>
      </c>
      <c r="B600">
        <v>88.9</v>
      </c>
      <c r="D600">
        <v>6.35</v>
      </c>
      <c r="G600">
        <v>16.47</v>
      </c>
      <c r="H600">
        <v>12.93</v>
      </c>
      <c r="I600">
        <v>141.11000000000001</v>
      </c>
      <c r="J600">
        <v>31.74</v>
      </c>
      <c r="K600">
        <v>2.93</v>
      </c>
      <c r="M600">
        <v>43.37</v>
      </c>
      <c r="S600">
        <v>282.20999999999998</v>
      </c>
      <c r="T600">
        <v>63.49</v>
      </c>
      <c r="AN600">
        <v>0.28000000000000003</v>
      </c>
    </row>
    <row r="601" spans="1:40" x14ac:dyDescent="0.25">
      <c r="A601" s="23" t="s">
        <v>140</v>
      </c>
      <c r="B601">
        <v>101.6</v>
      </c>
      <c r="D601">
        <v>2</v>
      </c>
      <c r="G601">
        <v>6.26</v>
      </c>
      <c r="H601">
        <v>4.91</v>
      </c>
      <c r="I601">
        <v>77.63</v>
      </c>
      <c r="J601">
        <v>15.28</v>
      </c>
      <c r="K601">
        <v>3.52</v>
      </c>
      <c r="M601">
        <v>19.850000000000001</v>
      </c>
      <c r="S601">
        <v>155.26</v>
      </c>
      <c r="T601">
        <v>31.15</v>
      </c>
      <c r="AN601">
        <v>0.32</v>
      </c>
    </row>
    <row r="602" spans="1:40" x14ac:dyDescent="0.25">
      <c r="A602" s="23" t="s">
        <v>140</v>
      </c>
      <c r="B602">
        <v>101.6</v>
      </c>
      <c r="D602">
        <v>2.5</v>
      </c>
      <c r="G602">
        <v>7.78</v>
      </c>
      <c r="H602">
        <v>6.11</v>
      </c>
      <c r="I602">
        <v>95.61</v>
      </c>
      <c r="J602">
        <v>18.82</v>
      </c>
      <c r="K602">
        <v>3.5</v>
      </c>
      <c r="M602">
        <v>24.56</v>
      </c>
      <c r="S602">
        <v>191.22</v>
      </c>
      <c r="T602">
        <v>38.549999999999997</v>
      </c>
      <c r="AN602">
        <v>0.32</v>
      </c>
    </row>
    <row r="603" spans="1:40" x14ac:dyDescent="0.25">
      <c r="A603" s="23" t="s">
        <v>140</v>
      </c>
      <c r="B603">
        <v>101.6</v>
      </c>
      <c r="D603">
        <v>3.2</v>
      </c>
      <c r="G603">
        <v>9.89</v>
      </c>
      <c r="H603">
        <v>7.77</v>
      </c>
      <c r="I603">
        <v>119.85</v>
      </c>
      <c r="J603">
        <v>23.59</v>
      </c>
      <c r="K603">
        <v>3.48</v>
      </c>
      <c r="M603">
        <v>31</v>
      </c>
      <c r="S603">
        <v>239.71</v>
      </c>
      <c r="T603">
        <v>48.65</v>
      </c>
      <c r="AN603">
        <v>0.32</v>
      </c>
    </row>
    <row r="604" spans="1:40" x14ac:dyDescent="0.25">
      <c r="A604" s="23" t="s">
        <v>140</v>
      </c>
      <c r="B604">
        <v>101.6</v>
      </c>
      <c r="D604">
        <v>4</v>
      </c>
      <c r="G604">
        <v>12.26</v>
      </c>
      <c r="H604">
        <v>9.6300000000000008</v>
      </c>
      <c r="I604">
        <v>146.28</v>
      </c>
      <c r="J604">
        <v>28.8</v>
      </c>
      <c r="K604">
        <v>3.45</v>
      </c>
      <c r="M604">
        <v>38.130000000000003</v>
      </c>
      <c r="S604">
        <v>292.57</v>
      </c>
      <c r="T604">
        <v>59.82</v>
      </c>
      <c r="AN604">
        <v>0.32</v>
      </c>
    </row>
    <row r="605" spans="1:40" x14ac:dyDescent="0.25">
      <c r="A605" s="23" t="s">
        <v>140</v>
      </c>
      <c r="B605">
        <v>101.6</v>
      </c>
      <c r="D605">
        <v>4.76</v>
      </c>
      <c r="G605">
        <v>14.48</v>
      </c>
      <c r="H605">
        <v>11.37</v>
      </c>
      <c r="I605">
        <v>170.17</v>
      </c>
      <c r="J605">
        <v>33.5</v>
      </c>
      <c r="K605">
        <v>3.43</v>
      </c>
      <c r="M605">
        <v>44.68</v>
      </c>
      <c r="S605">
        <v>340.33</v>
      </c>
      <c r="T605">
        <v>70.08</v>
      </c>
      <c r="AN605">
        <v>0.32</v>
      </c>
    </row>
    <row r="606" spans="1:40" x14ac:dyDescent="0.25">
      <c r="A606" s="23" t="s">
        <v>140</v>
      </c>
      <c r="B606">
        <v>101.6</v>
      </c>
      <c r="D606">
        <v>6.35</v>
      </c>
      <c r="G606">
        <v>19</v>
      </c>
      <c r="H606">
        <v>14.92</v>
      </c>
      <c r="I606">
        <v>216.45</v>
      </c>
      <c r="J606">
        <v>42.61</v>
      </c>
      <c r="K606">
        <v>3.38</v>
      </c>
      <c r="M606">
        <v>57.71</v>
      </c>
      <c r="S606">
        <v>432.89</v>
      </c>
      <c r="T606">
        <v>85.22</v>
      </c>
      <c r="AN606">
        <v>0.32</v>
      </c>
    </row>
    <row r="607" spans="1:40" x14ac:dyDescent="0.25">
      <c r="A607" s="23" t="s">
        <v>140</v>
      </c>
      <c r="B607">
        <v>127</v>
      </c>
      <c r="D607">
        <v>2.5</v>
      </c>
      <c r="G607">
        <v>9.7799999999999994</v>
      </c>
      <c r="H607">
        <v>7.68</v>
      </c>
      <c r="I607">
        <v>189.53</v>
      </c>
      <c r="J607">
        <v>29.85</v>
      </c>
      <c r="K607">
        <v>4.4000000000000004</v>
      </c>
      <c r="M607">
        <v>38.76</v>
      </c>
      <c r="S607">
        <v>379.06</v>
      </c>
      <c r="T607">
        <v>60.84</v>
      </c>
      <c r="AN607">
        <v>0.4</v>
      </c>
    </row>
    <row r="608" spans="1:40" x14ac:dyDescent="0.25">
      <c r="A608" s="23" t="s">
        <v>140</v>
      </c>
      <c r="B608">
        <v>127</v>
      </c>
      <c r="D608">
        <v>3.2</v>
      </c>
      <c r="G608">
        <v>12.45</v>
      </c>
      <c r="H608">
        <v>9.77</v>
      </c>
      <c r="I608">
        <v>238.59</v>
      </c>
      <c r="J608">
        <v>37.57</v>
      </c>
      <c r="K608">
        <v>4.38</v>
      </c>
      <c r="M608">
        <v>49.07</v>
      </c>
      <c r="S608">
        <v>477.19</v>
      </c>
      <c r="T608">
        <v>77</v>
      </c>
      <c r="AN608">
        <v>0.4</v>
      </c>
    </row>
    <row r="609" spans="1:40" x14ac:dyDescent="0.25">
      <c r="A609" s="23" t="s">
        <v>140</v>
      </c>
      <c r="B609">
        <v>127</v>
      </c>
      <c r="D609">
        <v>4</v>
      </c>
      <c r="G609">
        <v>15.46</v>
      </c>
      <c r="H609">
        <v>12.13</v>
      </c>
      <c r="I609">
        <v>292.61</v>
      </c>
      <c r="J609">
        <v>46.08</v>
      </c>
      <c r="K609">
        <v>4.3499999999999996</v>
      </c>
      <c r="M609">
        <v>60.55</v>
      </c>
      <c r="S609">
        <v>585.22</v>
      </c>
      <c r="T609">
        <v>95.01</v>
      </c>
      <c r="AN609">
        <v>0.4</v>
      </c>
    </row>
    <row r="610" spans="1:40" x14ac:dyDescent="0.25">
      <c r="A610" s="23" t="s">
        <v>140</v>
      </c>
      <c r="B610">
        <v>127</v>
      </c>
      <c r="D610">
        <v>4.75</v>
      </c>
      <c r="G610">
        <v>18.239999999999998</v>
      </c>
      <c r="H610">
        <v>14.32</v>
      </c>
      <c r="I610">
        <v>341.31</v>
      </c>
      <c r="J610">
        <v>53.75</v>
      </c>
      <c r="K610">
        <v>4.33</v>
      </c>
      <c r="M610">
        <v>71.040000000000006</v>
      </c>
      <c r="S610">
        <v>682.62</v>
      </c>
      <c r="T610">
        <v>111.45</v>
      </c>
      <c r="AN610">
        <v>0.4</v>
      </c>
    </row>
    <row r="611" spans="1:40" x14ac:dyDescent="0.25">
      <c r="A611" s="23" t="s">
        <v>140</v>
      </c>
      <c r="B611">
        <v>127</v>
      </c>
      <c r="D611">
        <v>6.35</v>
      </c>
      <c r="G611">
        <v>24.07</v>
      </c>
      <c r="H611">
        <v>18.89</v>
      </c>
      <c r="I611">
        <v>439.15</v>
      </c>
      <c r="J611">
        <v>69.16</v>
      </c>
      <c r="K611">
        <v>4.2699999999999996</v>
      </c>
      <c r="M611">
        <v>92.54</v>
      </c>
      <c r="S611">
        <v>878.3</v>
      </c>
      <c r="T611">
        <v>145.12</v>
      </c>
      <c r="AN611">
        <v>0.4</v>
      </c>
    </row>
    <row r="612" spans="1:40" x14ac:dyDescent="0.25">
      <c r="A612" s="23" t="s">
        <v>140</v>
      </c>
      <c r="B612">
        <v>168.3</v>
      </c>
      <c r="D612">
        <v>3.2</v>
      </c>
      <c r="G612">
        <v>16.600000000000001</v>
      </c>
      <c r="H612">
        <v>13.03</v>
      </c>
      <c r="I612">
        <v>565.73</v>
      </c>
      <c r="J612">
        <v>67.23</v>
      </c>
      <c r="K612">
        <v>5.84</v>
      </c>
      <c r="M612">
        <v>87.25</v>
      </c>
      <c r="S612">
        <v>1131.46</v>
      </c>
      <c r="T612">
        <v>136.94</v>
      </c>
      <c r="AN612">
        <v>0.53</v>
      </c>
    </row>
    <row r="613" spans="1:40" x14ac:dyDescent="0.25">
      <c r="A613" s="23" t="s">
        <v>140</v>
      </c>
      <c r="B613">
        <v>168.3</v>
      </c>
      <c r="D613">
        <v>4</v>
      </c>
      <c r="G613">
        <v>20.65</v>
      </c>
      <c r="H613">
        <v>16.21</v>
      </c>
      <c r="I613">
        <v>697.09</v>
      </c>
      <c r="J613">
        <v>82.84</v>
      </c>
      <c r="K613">
        <v>5.81</v>
      </c>
      <c r="M613">
        <v>108.02</v>
      </c>
      <c r="S613">
        <v>1394.17</v>
      </c>
      <c r="T613">
        <v>169.53</v>
      </c>
      <c r="AN613">
        <v>0.53</v>
      </c>
    </row>
    <row r="614" spans="1:40" x14ac:dyDescent="0.25">
      <c r="A614" s="23" t="s">
        <v>140</v>
      </c>
      <c r="B614">
        <v>168.3</v>
      </c>
      <c r="D614">
        <v>4.75</v>
      </c>
      <c r="G614">
        <v>24.41</v>
      </c>
      <c r="H614">
        <v>19.16</v>
      </c>
      <c r="I614">
        <v>816.71</v>
      </c>
      <c r="J614">
        <v>97.05</v>
      </c>
      <c r="K614">
        <v>5.78</v>
      </c>
      <c r="M614">
        <v>127.12</v>
      </c>
      <c r="S614">
        <v>1633.42</v>
      </c>
      <c r="T614">
        <v>199.48</v>
      </c>
      <c r="AN614">
        <v>0.53</v>
      </c>
    </row>
    <row r="615" spans="1:40" x14ac:dyDescent="0.25">
      <c r="A615" s="23" t="s">
        <v>140</v>
      </c>
      <c r="B615">
        <v>168.3</v>
      </c>
      <c r="D615">
        <v>6.35</v>
      </c>
      <c r="G615">
        <v>32.31</v>
      </c>
      <c r="H615">
        <v>25.36</v>
      </c>
      <c r="I615">
        <v>1060.82</v>
      </c>
      <c r="J615">
        <v>126.06</v>
      </c>
      <c r="K615">
        <v>5.73</v>
      </c>
      <c r="M615">
        <v>166.67</v>
      </c>
      <c r="S615">
        <v>2121.63</v>
      </c>
      <c r="T615">
        <v>261.48</v>
      </c>
      <c r="AN615">
        <v>0.53</v>
      </c>
    </row>
    <row r="616" spans="1:40" x14ac:dyDescent="0.25">
      <c r="A616" s="23" t="s">
        <v>140</v>
      </c>
      <c r="B616">
        <v>168.3</v>
      </c>
      <c r="D616">
        <v>7.1</v>
      </c>
      <c r="G616">
        <v>35.96</v>
      </c>
      <c r="H616">
        <v>28.23</v>
      </c>
      <c r="I616">
        <v>1170.18</v>
      </c>
      <c r="J616">
        <v>139.06</v>
      </c>
      <c r="K616">
        <v>5.7</v>
      </c>
      <c r="M616">
        <v>184.65</v>
      </c>
      <c r="S616">
        <v>2340.35</v>
      </c>
      <c r="T616">
        <v>289.66000000000003</v>
      </c>
      <c r="AN616">
        <v>0.53</v>
      </c>
    </row>
    <row r="617" spans="1:40" x14ac:dyDescent="0.25">
      <c r="A617" s="23" t="s">
        <v>140</v>
      </c>
      <c r="B617">
        <v>219.1</v>
      </c>
      <c r="D617">
        <v>4</v>
      </c>
      <c r="G617">
        <v>27.06</v>
      </c>
      <c r="H617">
        <v>21.24</v>
      </c>
      <c r="I617">
        <v>1568.19</v>
      </c>
      <c r="J617">
        <v>143.02000000000001</v>
      </c>
      <c r="K617">
        <v>7.61</v>
      </c>
      <c r="M617">
        <v>185.47</v>
      </c>
      <c r="S617">
        <v>3136.38</v>
      </c>
      <c r="T617">
        <v>291.10000000000002</v>
      </c>
      <c r="AN617">
        <v>0.69</v>
      </c>
    </row>
    <row r="618" spans="1:40" x14ac:dyDescent="0.25">
      <c r="A618" s="23" t="s">
        <v>140</v>
      </c>
      <c r="B618">
        <v>219.1</v>
      </c>
      <c r="D618">
        <v>4.76</v>
      </c>
      <c r="G618">
        <v>32.08</v>
      </c>
      <c r="H618">
        <v>25.18</v>
      </c>
      <c r="I618">
        <v>1846.72</v>
      </c>
      <c r="J618">
        <v>168.42</v>
      </c>
      <c r="K618">
        <v>7.59</v>
      </c>
      <c r="M618">
        <v>219.17</v>
      </c>
      <c r="S618">
        <v>3693.45</v>
      </c>
      <c r="T618">
        <v>343.97</v>
      </c>
      <c r="AN618">
        <v>0.69</v>
      </c>
    </row>
    <row r="619" spans="1:40" x14ac:dyDescent="0.25">
      <c r="A619" s="23" t="s">
        <v>140</v>
      </c>
      <c r="B619">
        <v>219.1</v>
      </c>
      <c r="D619">
        <v>6.35</v>
      </c>
      <c r="G619">
        <v>42.48</v>
      </c>
      <c r="H619">
        <v>33.35</v>
      </c>
      <c r="I619">
        <v>2410.1799999999998</v>
      </c>
      <c r="J619">
        <v>219.81</v>
      </c>
      <c r="K619">
        <v>7.53</v>
      </c>
      <c r="M619">
        <v>288.10000000000002</v>
      </c>
      <c r="S619">
        <v>4820.3599999999997</v>
      </c>
      <c r="T619">
        <v>452.09</v>
      </c>
      <c r="AN619">
        <v>0.69</v>
      </c>
    </row>
    <row r="620" spans="1:40" x14ac:dyDescent="0.25">
      <c r="A620" s="23" t="s">
        <v>140</v>
      </c>
      <c r="B620">
        <v>219.1</v>
      </c>
      <c r="D620">
        <v>7.95</v>
      </c>
      <c r="G620">
        <v>52.79</v>
      </c>
      <c r="H620">
        <v>41.44</v>
      </c>
      <c r="I620">
        <v>2951.51</v>
      </c>
      <c r="J620">
        <v>269.18</v>
      </c>
      <c r="K620">
        <v>7.48</v>
      </c>
      <c r="M620">
        <v>355.36</v>
      </c>
      <c r="S620">
        <v>5903.02</v>
      </c>
      <c r="T620">
        <v>557.53</v>
      </c>
      <c r="AN620">
        <v>0.69</v>
      </c>
    </row>
    <row r="621" spans="1:40" x14ac:dyDescent="0.25">
      <c r="A621" s="23" t="s">
        <v>140</v>
      </c>
      <c r="B621">
        <v>219.1</v>
      </c>
      <c r="D621">
        <v>9.5299999999999994</v>
      </c>
      <c r="G621">
        <v>62.8</v>
      </c>
      <c r="H621">
        <v>49.3</v>
      </c>
      <c r="I621">
        <v>3461.58</v>
      </c>
      <c r="J621">
        <v>315.69</v>
      </c>
      <c r="K621">
        <v>7.42</v>
      </c>
      <c r="M621">
        <v>419.73</v>
      </c>
      <c r="S621">
        <v>6923.17</v>
      </c>
      <c r="T621">
        <v>658.38</v>
      </c>
      <c r="AN621">
        <v>0.69</v>
      </c>
    </row>
    <row r="622" spans="1:40" x14ac:dyDescent="0.25">
      <c r="A622" s="23" t="s">
        <v>140</v>
      </c>
      <c r="B622">
        <v>219.1</v>
      </c>
      <c r="D622">
        <v>11.1</v>
      </c>
      <c r="G622">
        <v>72.599999999999994</v>
      </c>
      <c r="H622">
        <v>56.99</v>
      </c>
      <c r="I622">
        <v>3945.07</v>
      </c>
      <c r="J622">
        <v>359.79</v>
      </c>
      <c r="K622">
        <v>7.37</v>
      </c>
      <c r="M622">
        <v>481.71</v>
      </c>
      <c r="S622">
        <v>7890.13</v>
      </c>
      <c r="T622">
        <v>719.57</v>
      </c>
      <c r="AN622">
        <v>0.69</v>
      </c>
    </row>
    <row r="623" spans="1:40" x14ac:dyDescent="0.25">
      <c r="A623" s="23" t="s">
        <v>140</v>
      </c>
      <c r="B623">
        <v>219.1</v>
      </c>
      <c r="D623">
        <v>12.7</v>
      </c>
      <c r="G623">
        <v>82.43</v>
      </c>
      <c r="H623">
        <v>64.709999999999994</v>
      </c>
      <c r="I623">
        <v>4414.58</v>
      </c>
      <c r="J623">
        <v>402.61</v>
      </c>
      <c r="K623">
        <v>7.32</v>
      </c>
      <c r="M623">
        <v>542.87</v>
      </c>
      <c r="S623">
        <v>8829.15</v>
      </c>
      <c r="T623">
        <v>805.21</v>
      </c>
      <c r="AN623">
        <v>0.69</v>
      </c>
    </row>
    <row r="624" spans="1:40" x14ac:dyDescent="0.25">
      <c r="A624" s="23" t="s">
        <v>140</v>
      </c>
      <c r="B624">
        <v>273</v>
      </c>
      <c r="D624">
        <v>6.35</v>
      </c>
      <c r="G624">
        <v>53.19</v>
      </c>
      <c r="H624">
        <v>41.76</v>
      </c>
      <c r="I624">
        <v>4730.4399999999996</v>
      </c>
      <c r="J624">
        <v>346.55</v>
      </c>
      <c r="K624">
        <v>9.43</v>
      </c>
      <c r="M624">
        <v>451.67</v>
      </c>
      <c r="S624">
        <v>9460.8700000000008</v>
      </c>
      <c r="T624">
        <v>708.85</v>
      </c>
      <c r="AN624">
        <v>0.86</v>
      </c>
    </row>
    <row r="625" spans="1:40" x14ac:dyDescent="0.25">
      <c r="A625" s="23" t="s">
        <v>140</v>
      </c>
      <c r="B625">
        <v>273</v>
      </c>
      <c r="D625">
        <v>7.95</v>
      </c>
      <c r="G625">
        <v>66.2</v>
      </c>
      <c r="H625">
        <v>51.97</v>
      </c>
      <c r="I625">
        <v>5818.32</v>
      </c>
      <c r="J625">
        <v>426.25</v>
      </c>
      <c r="K625">
        <v>9.3800000000000008</v>
      </c>
      <c r="M625">
        <v>558.78</v>
      </c>
      <c r="S625">
        <v>11636.64</v>
      </c>
      <c r="T625">
        <v>876.84</v>
      </c>
      <c r="AN625">
        <v>0.86</v>
      </c>
    </row>
    <row r="626" spans="1:40" x14ac:dyDescent="0.25">
      <c r="A626" s="23" t="s">
        <v>140</v>
      </c>
      <c r="B626">
        <v>273</v>
      </c>
      <c r="D626">
        <v>9.5299999999999994</v>
      </c>
      <c r="G626">
        <v>78.88</v>
      </c>
      <c r="H626">
        <v>61.92</v>
      </c>
      <c r="I626">
        <v>6853.47</v>
      </c>
      <c r="J626">
        <v>502.09</v>
      </c>
      <c r="K626">
        <v>9.32</v>
      </c>
      <c r="M626">
        <v>661.96</v>
      </c>
      <c r="S626">
        <v>13706.95</v>
      </c>
      <c r="T626">
        <v>1038.6199999999999</v>
      </c>
      <c r="AN626">
        <v>0.86</v>
      </c>
    </row>
    <row r="627" spans="1:40" x14ac:dyDescent="0.25">
      <c r="A627" s="23" t="s">
        <v>140</v>
      </c>
      <c r="B627">
        <v>273</v>
      </c>
      <c r="D627">
        <v>11.1</v>
      </c>
      <c r="G627">
        <v>91.33</v>
      </c>
      <c r="H627">
        <v>71.69</v>
      </c>
      <c r="I627">
        <v>7844.5</v>
      </c>
      <c r="J627">
        <v>574.69000000000005</v>
      </c>
      <c r="K627">
        <v>9.27</v>
      </c>
      <c r="M627">
        <v>761.98</v>
      </c>
      <c r="S627">
        <v>15689</v>
      </c>
      <c r="T627">
        <v>1195.3499999999999</v>
      </c>
      <c r="AN627">
        <v>0.86</v>
      </c>
    </row>
    <row r="628" spans="1:40" x14ac:dyDescent="0.25">
      <c r="A628" s="23" t="s">
        <v>140</v>
      </c>
      <c r="B628">
        <v>273</v>
      </c>
      <c r="D628">
        <v>12.7</v>
      </c>
      <c r="G628">
        <v>103.86</v>
      </c>
      <c r="H628">
        <v>81.53</v>
      </c>
      <c r="I628">
        <v>8816.89</v>
      </c>
      <c r="J628">
        <v>645.92999999999995</v>
      </c>
      <c r="K628">
        <v>9.2100000000000009</v>
      </c>
      <c r="M628">
        <v>861.36</v>
      </c>
      <c r="S628">
        <v>17633.77</v>
      </c>
      <c r="T628">
        <v>1350.99</v>
      </c>
      <c r="AN628">
        <v>0.86</v>
      </c>
    </row>
    <row r="629" spans="1:40" x14ac:dyDescent="0.25">
      <c r="A629" s="23" t="s">
        <v>140</v>
      </c>
      <c r="B629">
        <v>323.8</v>
      </c>
      <c r="D629">
        <v>6.35</v>
      </c>
      <c r="G629">
        <v>63.33</v>
      </c>
      <c r="H629">
        <v>49.71</v>
      </c>
      <c r="I629">
        <v>7980.5</v>
      </c>
      <c r="J629">
        <v>492.9</v>
      </c>
      <c r="K629">
        <v>11.23</v>
      </c>
      <c r="M629">
        <v>640.1</v>
      </c>
      <c r="S629">
        <v>15961</v>
      </c>
      <c r="T629">
        <v>1004.7</v>
      </c>
      <c r="AN629">
        <v>1.02</v>
      </c>
    </row>
    <row r="630" spans="1:40" x14ac:dyDescent="0.25">
      <c r="A630" s="23" t="s">
        <v>140</v>
      </c>
      <c r="B630">
        <v>323.8</v>
      </c>
      <c r="D630">
        <v>7.95</v>
      </c>
      <c r="G630">
        <v>78.89</v>
      </c>
      <c r="H630">
        <v>61.93</v>
      </c>
      <c r="I630">
        <v>9843.2999999999993</v>
      </c>
      <c r="J630">
        <v>608</v>
      </c>
      <c r="K630">
        <v>11.17</v>
      </c>
      <c r="M630">
        <v>793.4</v>
      </c>
      <c r="S630">
        <v>19686.599999999999</v>
      </c>
      <c r="T630">
        <v>1245.2</v>
      </c>
      <c r="AN630">
        <v>1.02</v>
      </c>
    </row>
    <row r="631" spans="1:40" x14ac:dyDescent="0.25">
      <c r="A631" s="23" t="s">
        <v>140</v>
      </c>
      <c r="B631">
        <v>323.8</v>
      </c>
      <c r="D631">
        <v>9.5299999999999994</v>
      </c>
      <c r="G631">
        <v>94.09</v>
      </c>
      <c r="H631">
        <v>73.86</v>
      </c>
      <c r="I631">
        <v>11626.7</v>
      </c>
      <c r="J631">
        <v>718.1</v>
      </c>
      <c r="K631">
        <v>11.12</v>
      </c>
      <c r="M631">
        <v>941.7</v>
      </c>
      <c r="S631">
        <v>23253.4</v>
      </c>
      <c r="T631">
        <v>1477.7</v>
      </c>
      <c r="AN631">
        <v>1.02</v>
      </c>
    </row>
    <row r="632" spans="1:40" x14ac:dyDescent="0.25">
      <c r="A632" s="23" t="s">
        <v>140</v>
      </c>
      <c r="B632">
        <v>323.8</v>
      </c>
      <c r="D632">
        <v>11.1</v>
      </c>
      <c r="G632">
        <v>109.04</v>
      </c>
      <c r="H632">
        <v>85.6</v>
      </c>
      <c r="I632">
        <v>13344.7</v>
      </c>
      <c r="J632">
        <v>824.3</v>
      </c>
      <c r="K632">
        <v>11.06</v>
      </c>
      <c r="M632">
        <v>1086</v>
      </c>
      <c r="S632">
        <v>26689.5</v>
      </c>
      <c r="T632">
        <v>1704</v>
      </c>
      <c r="AN632">
        <v>1.02</v>
      </c>
    </row>
    <row r="633" spans="1:40" x14ac:dyDescent="0.25">
      <c r="A633" s="23" t="s">
        <v>140</v>
      </c>
      <c r="B633">
        <v>323.8</v>
      </c>
      <c r="D633">
        <v>12.7</v>
      </c>
      <c r="G633">
        <v>124.12</v>
      </c>
      <c r="H633">
        <v>97.44</v>
      </c>
      <c r="I633">
        <v>15041.2</v>
      </c>
      <c r="J633">
        <v>929</v>
      </c>
      <c r="K633">
        <v>11.01</v>
      </c>
      <c r="M633">
        <v>1230.0999999999999</v>
      </c>
      <c r="S633">
        <v>30082.5</v>
      </c>
      <c r="T633">
        <v>1929.8</v>
      </c>
      <c r="AN633">
        <v>1.02</v>
      </c>
    </row>
    <row r="634" spans="1:40" x14ac:dyDescent="0.25">
      <c r="A634" s="23" t="s">
        <v>140</v>
      </c>
      <c r="B634">
        <v>355.6</v>
      </c>
      <c r="D634">
        <v>6.35</v>
      </c>
      <c r="G634">
        <v>69.67</v>
      </c>
      <c r="H634">
        <v>54.69</v>
      </c>
      <c r="I634">
        <v>10626.3</v>
      </c>
      <c r="J634">
        <v>597.70000000000005</v>
      </c>
      <c r="K634">
        <v>12.35</v>
      </c>
      <c r="M634">
        <v>774.8</v>
      </c>
      <c r="S634">
        <v>21252.6</v>
      </c>
      <c r="T634">
        <v>1216</v>
      </c>
      <c r="AN634">
        <v>1.1200000000000001</v>
      </c>
    </row>
    <row r="635" spans="1:40" x14ac:dyDescent="0.25">
      <c r="A635" s="23" t="s">
        <v>140</v>
      </c>
      <c r="B635">
        <v>355.6</v>
      </c>
      <c r="D635">
        <v>7.95</v>
      </c>
      <c r="G635">
        <v>86.83</v>
      </c>
      <c r="H635">
        <v>68.16</v>
      </c>
      <c r="I635">
        <v>13124.3</v>
      </c>
      <c r="J635">
        <v>738.2</v>
      </c>
      <c r="K635">
        <v>12.29</v>
      </c>
      <c r="M635">
        <v>961.2</v>
      </c>
      <c r="S635">
        <v>26248.7</v>
      </c>
      <c r="T635">
        <v>1508.5</v>
      </c>
      <c r="AN635">
        <v>1.1200000000000001</v>
      </c>
    </row>
    <row r="636" spans="1:40" x14ac:dyDescent="0.25">
      <c r="A636" s="23" t="s">
        <v>140</v>
      </c>
      <c r="B636">
        <v>355.6</v>
      </c>
      <c r="D636">
        <v>9.5299999999999994</v>
      </c>
      <c r="G636">
        <v>103.61</v>
      </c>
      <c r="H636">
        <v>81.33</v>
      </c>
      <c r="I636">
        <v>15522.8</v>
      </c>
      <c r="J636">
        <v>873</v>
      </c>
      <c r="K636">
        <v>12.24</v>
      </c>
      <c r="M636">
        <v>1141.9000000000001</v>
      </c>
      <c r="S636">
        <v>31045.599999999999</v>
      </c>
      <c r="T636">
        <v>1791.9</v>
      </c>
      <c r="AN636">
        <v>1.1200000000000001</v>
      </c>
    </row>
    <row r="637" spans="1:40" x14ac:dyDescent="0.25">
      <c r="A637" s="23" t="s">
        <v>140</v>
      </c>
      <c r="B637">
        <v>355.6</v>
      </c>
      <c r="D637">
        <v>11.1</v>
      </c>
      <c r="G637">
        <v>120.13</v>
      </c>
      <c r="H637">
        <v>94.3</v>
      </c>
      <c r="I637">
        <v>17840.099999999999</v>
      </c>
      <c r="J637">
        <v>1003.4</v>
      </c>
      <c r="K637">
        <v>12.19</v>
      </c>
      <c r="M637">
        <v>1318.1</v>
      </c>
      <c r="S637">
        <v>35680.199999999997</v>
      </c>
      <c r="T637">
        <v>2068.1999999999998</v>
      </c>
      <c r="AN637">
        <v>1.1200000000000001</v>
      </c>
    </row>
    <row r="638" spans="1:40" x14ac:dyDescent="0.25">
      <c r="A638" s="23" t="s">
        <v>140</v>
      </c>
      <c r="B638">
        <v>355.6</v>
      </c>
      <c r="D638">
        <v>12.7</v>
      </c>
      <c r="G638">
        <v>136.81</v>
      </c>
      <c r="H638">
        <v>107.4</v>
      </c>
      <c r="I638">
        <v>20135.3</v>
      </c>
      <c r="J638">
        <v>1132.5</v>
      </c>
      <c r="K638">
        <v>12.13</v>
      </c>
      <c r="M638">
        <v>1494.3</v>
      </c>
      <c r="S638">
        <v>40270.6</v>
      </c>
      <c r="T638">
        <v>2344.4</v>
      </c>
      <c r="AN638">
        <v>1.1200000000000001</v>
      </c>
    </row>
    <row r="639" spans="1:40" x14ac:dyDescent="0.25">
      <c r="A639" s="23" t="s">
        <v>140</v>
      </c>
      <c r="B639">
        <v>406.4</v>
      </c>
      <c r="D639">
        <v>6.35</v>
      </c>
      <c r="G639">
        <v>79.819999999999993</v>
      </c>
      <c r="H639">
        <v>62.66</v>
      </c>
      <c r="I639">
        <v>15975.2</v>
      </c>
      <c r="J639">
        <v>786.1</v>
      </c>
      <c r="K639">
        <v>14.15</v>
      </c>
      <c r="M639">
        <v>1016.8</v>
      </c>
      <c r="S639">
        <v>31950.3</v>
      </c>
      <c r="T639">
        <v>1595.9</v>
      </c>
      <c r="AN639">
        <v>1.28</v>
      </c>
    </row>
    <row r="640" spans="1:40" x14ac:dyDescent="0.25">
      <c r="A640" s="23" t="s">
        <v>140</v>
      </c>
      <c r="B640">
        <v>406.4</v>
      </c>
      <c r="D640">
        <v>7.95</v>
      </c>
      <c r="G640">
        <v>99.53</v>
      </c>
      <c r="H640">
        <v>78.13</v>
      </c>
      <c r="I640">
        <v>19764.3</v>
      </c>
      <c r="J640">
        <v>972.5</v>
      </c>
      <c r="K640">
        <v>14.09</v>
      </c>
      <c r="M640">
        <v>1262.9000000000001</v>
      </c>
      <c r="S640">
        <v>39528.6</v>
      </c>
      <c r="T640">
        <v>1982.1</v>
      </c>
      <c r="AN640">
        <v>1.28</v>
      </c>
    </row>
    <row r="641" spans="1:40" x14ac:dyDescent="0.25">
      <c r="A641" s="23" t="s">
        <v>140</v>
      </c>
      <c r="B641">
        <v>406.4</v>
      </c>
      <c r="D641">
        <v>9.5299999999999994</v>
      </c>
      <c r="G641">
        <v>118.84</v>
      </c>
      <c r="H641">
        <v>93.29</v>
      </c>
      <c r="I641">
        <v>23415.8</v>
      </c>
      <c r="J641">
        <v>1152.2</v>
      </c>
      <c r="K641">
        <v>14.04</v>
      </c>
      <c r="M641">
        <v>1502</v>
      </c>
      <c r="S641">
        <v>46831.6</v>
      </c>
      <c r="T641">
        <v>2357.1999999999998</v>
      </c>
      <c r="AN641">
        <v>1.28</v>
      </c>
    </row>
    <row r="642" spans="1:40" x14ac:dyDescent="0.25">
      <c r="A642" s="23" t="s">
        <v>140</v>
      </c>
      <c r="B642">
        <v>406.4</v>
      </c>
      <c r="D642">
        <v>11.1</v>
      </c>
      <c r="G642">
        <v>137.87</v>
      </c>
      <c r="H642">
        <v>108.22</v>
      </c>
      <c r="I642">
        <v>26956.7</v>
      </c>
      <c r="J642">
        <v>1326.4</v>
      </c>
      <c r="K642">
        <v>13.98</v>
      </c>
      <c r="M642">
        <v>1735.8</v>
      </c>
      <c r="S642">
        <v>53913.4</v>
      </c>
      <c r="T642">
        <v>2723.9</v>
      </c>
      <c r="AN642">
        <v>1.28</v>
      </c>
    </row>
    <row r="643" spans="1:40" x14ac:dyDescent="0.25">
      <c r="A643" s="23" t="s">
        <v>140</v>
      </c>
      <c r="B643">
        <v>406.4</v>
      </c>
      <c r="D643">
        <v>12.7</v>
      </c>
      <c r="G643">
        <v>157.1</v>
      </c>
      <c r="H643">
        <v>123.32</v>
      </c>
      <c r="I643">
        <v>30477.1</v>
      </c>
      <c r="J643">
        <v>1499.7</v>
      </c>
      <c r="K643">
        <v>13.93</v>
      </c>
      <c r="M643">
        <v>1970.1</v>
      </c>
      <c r="S643">
        <v>60954.2</v>
      </c>
      <c r="T643">
        <v>3091.3</v>
      </c>
      <c r="AN643">
        <v>1.28</v>
      </c>
    </row>
    <row r="644" spans="1:40" x14ac:dyDescent="0.25">
      <c r="A644" s="23" t="s">
        <v>140</v>
      </c>
      <c r="B644">
        <v>457.2</v>
      </c>
      <c r="D644">
        <v>6.35</v>
      </c>
      <c r="G644">
        <v>89.94</v>
      </c>
      <c r="H644">
        <v>70.599999999999994</v>
      </c>
      <c r="I644">
        <v>22856.6</v>
      </c>
      <c r="J644">
        <v>999.9</v>
      </c>
      <c r="K644">
        <v>15.94</v>
      </c>
      <c r="M644">
        <v>1291.0999999999999</v>
      </c>
      <c r="S644">
        <v>45713.3</v>
      </c>
      <c r="T644">
        <v>2026.5</v>
      </c>
      <c r="AN644">
        <v>1.44</v>
      </c>
    </row>
    <row r="645" spans="1:40" x14ac:dyDescent="0.25">
      <c r="A645" s="23" t="s">
        <v>140</v>
      </c>
      <c r="B645">
        <v>457.2</v>
      </c>
      <c r="D645">
        <v>7.95</v>
      </c>
      <c r="G645">
        <v>112.2</v>
      </c>
      <c r="H645">
        <v>88.08</v>
      </c>
      <c r="I645">
        <v>28315.5</v>
      </c>
      <c r="J645">
        <v>1238.5999999999999</v>
      </c>
      <c r="K645">
        <v>15.89</v>
      </c>
      <c r="M645">
        <v>1605</v>
      </c>
      <c r="S645">
        <v>56630.9</v>
      </c>
      <c r="T645">
        <v>2519.1</v>
      </c>
      <c r="AN645">
        <v>1.44</v>
      </c>
    </row>
    <row r="646" spans="1:40" x14ac:dyDescent="0.25">
      <c r="A646" s="23" t="s">
        <v>140</v>
      </c>
      <c r="B646">
        <v>457.2</v>
      </c>
      <c r="D646">
        <v>9.5299999999999994</v>
      </c>
      <c r="G646">
        <v>134.03</v>
      </c>
      <c r="H646">
        <v>105.21</v>
      </c>
      <c r="I646">
        <v>33590.800000000003</v>
      </c>
      <c r="J646">
        <v>1469.4</v>
      </c>
      <c r="K646">
        <v>15.83</v>
      </c>
      <c r="M646">
        <v>1910.6</v>
      </c>
      <c r="S646">
        <v>67181.600000000006</v>
      </c>
      <c r="T646">
        <v>2998.5</v>
      </c>
      <c r="AN646">
        <v>1.44</v>
      </c>
    </row>
    <row r="647" spans="1:40" x14ac:dyDescent="0.25">
      <c r="A647" s="23" t="s">
        <v>140</v>
      </c>
      <c r="B647">
        <v>457.2</v>
      </c>
      <c r="D647">
        <v>11.1</v>
      </c>
      <c r="G647">
        <v>155.56</v>
      </c>
      <c r="H647">
        <v>122.12</v>
      </c>
      <c r="I647">
        <v>38720.9</v>
      </c>
      <c r="J647">
        <v>1693.8</v>
      </c>
      <c r="K647">
        <v>15.78</v>
      </c>
      <c r="M647">
        <v>2209.9</v>
      </c>
      <c r="S647">
        <v>77441.7</v>
      </c>
      <c r="T647">
        <v>3468.1</v>
      </c>
      <c r="AN647">
        <v>1.44</v>
      </c>
    </row>
    <row r="648" spans="1:40" x14ac:dyDescent="0.25">
      <c r="A648" s="23" t="s">
        <v>140</v>
      </c>
      <c r="B648">
        <v>457.2</v>
      </c>
      <c r="D648">
        <v>12.7</v>
      </c>
      <c r="G648">
        <v>177.35</v>
      </c>
      <c r="H648">
        <v>139.22</v>
      </c>
      <c r="I648">
        <v>43835.9</v>
      </c>
      <c r="J648">
        <v>1917.6</v>
      </c>
      <c r="K648">
        <v>15.72</v>
      </c>
      <c r="M648">
        <v>2510.5</v>
      </c>
      <c r="S648">
        <v>87671.8</v>
      </c>
      <c r="T648">
        <v>3939.6</v>
      </c>
      <c r="AN648">
        <v>1.44</v>
      </c>
    </row>
    <row r="649" spans="1:40" x14ac:dyDescent="0.25">
      <c r="A649" s="23" t="s">
        <v>140</v>
      </c>
      <c r="B649">
        <v>508.2</v>
      </c>
      <c r="D649">
        <v>6.35</v>
      </c>
      <c r="G649">
        <v>100.11</v>
      </c>
      <c r="H649">
        <v>78.59</v>
      </c>
      <c r="I649">
        <v>31522.6</v>
      </c>
      <c r="J649">
        <v>1240.5999999999999</v>
      </c>
      <c r="K649">
        <v>17.739999999999998</v>
      </c>
      <c r="M649">
        <v>1599.7</v>
      </c>
      <c r="S649">
        <v>63045.1</v>
      </c>
      <c r="T649">
        <v>2510.9</v>
      </c>
      <c r="AN649">
        <v>1.6</v>
      </c>
    </row>
    <row r="650" spans="1:40" x14ac:dyDescent="0.25">
      <c r="A650" s="23" t="s">
        <v>140</v>
      </c>
      <c r="B650">
        <v>508.2</v>
      </c>
      <c r="D650">
        <v>9.5299999999999994</v>
      </c>
      <c r="G650">
        <v>149.30000000000001</v>
      </c>
      <c r="H650">
        <v>117.2</v>
      </c>
      <c r="I650">
        <v>46424.5</v>
      </c>
      <c r="J650">
        <v>1827</v>
      </c>
      <c r="K650">
        <v>17.63</v>
      </c>
      <c r="M650">
        <v>2370.6</v>
      </c>
      <c r="S650">
        <v>92849.1</v>
      </c>
      <c r="T650">
        <v>3720.7</v>
      </c>
      <c r="AN650">
        <v>1.6</v>
      </c>
    </row>
    <row r="651" spans="1:40" x14ac:dyDescent="0.25">
      <c r="A651" s="23" t="s">
        <v>140</v>
      </c>
      <c r="B651">
        <v>508.2</v>
      </c>
      <c r="D651">
        <v>12.7</v>
      </c>
      <c r="G651">
        <v>197.7</v>
      </c>
      <c r="H651">
        <v>155.19</v>
      </c>
      <c r="I651">
        <v>60712.3</v>
      </c>
      <c r="J651">
        <v>2389.3000000000002</v>
      </c>
      <c r="K651">
        <v>17.52</v>
      </c>
      <c r="M651">
        <v>3119.4</v>
      </c>
      <c r="S651">
        <v>121424.5</v>
      </c>
      <c r="T651">
        <v>4895.3999999999996</v>
      </c>
      <c r="AN651">
        <v>1.6</v>
      </c>
    </row>
    <row r="652" spans="1:40" x14ac:dyDescent="0.25">
      <c r="A652" s="23" t="s">
        <v>140</v>
      </c>
      <c r="B652">
        <v>508.2</v>
      </c>
      <c r="D652">
        <v>15.87</v>
      </c>
      <c r="G652">
        <v>245.46</v>
      </c>
      <c r="H652">
        <v>192.69</v>
      </c>
      <c r="I652">
        <v>74448.100000000006</v>
      </c>
      <c r="J652">
        <v>2929.9</v>
      </c>
      <c r="K652">
        <v>17.420000000000002</v>
      </c>
      <c r="M652">
        <v>3848.8</v>
      </c>
      <c r="S652">
        <v>148896.1</v>
      </c>
      <c r="T652">
        <v>6039.3</v>
      </c>
      <c r="AN652">
        <v>1.6</v>
      </c>
    </row>
    <row r="653" spans="1:40" x14ac:dyDescent="0.25">
      <c r="A653" s="23" t="s">
        <v>140</v>
      </c>
      <c r="B653">
        <v>558.79999999999995</v>
      </c>
      <c r="D653">
        <v>6.35</v>
      </c>
      <c r="G653">
        <v>110.21</v>
      </c>
      <c r="H653">
        <v>86.51</v>
      </c>
      <c r="I653">
        <v>42050</v>
      </c>
      <c r="J653">
        <v>1505</v>
      </c>
      <c r="K653">
        <v>19.53</v>
      </c>
      <c r="M653">
        <v>1938.5</v>
      </c>
      <c r="S653">
        <v>84100.1</v>
      </c>
      <c r="T653">
        <v>3042.7</v>
      </c>
      <c r="AN653">
        <v>1.76</v>
      </c>
    </row>
    <row r="654" spans="1:40" x14ac:dyDescent="0.25">
      <c r="A654" s="23" t="s">
        <v>140</v>
      </c>
      <c r="B654">
        <v>558.79999999999995</v>
      </c>
      <c r="D654">
        <v>9.5299999999999994</v>
      </c>
      <c r="G654">
        <v>164.45</v>
      </c>
      <c r="H654">
        <v>129.09</v>
      </c>
      <c r="I654">
        <v>62035.1</v>
      </c>
      <c r="J654">
        <v>2220.3000000000002</v>
      </c>
      <c r="K654">
        <v>19.420000000000002</v>
      </c>
      <c r="M654">
        <v>2876</v>
      </c>
      <c r="S654">
        <v>124070.3</v>
      </c>
      <c r="T654">
        <v>4514</v>
      </c>
      <c r="AN654">
        <v>1.76</v>
      </c>
    </row>
    <row r="655" spans="1:40" x14ac:dyDescent="0.25">
      <c r="A655" s="23" t="s">
        <v>140</v>
      </c>
      <c r="B655">
        <v>558.79999999999995</v>
      </c>
      <c r="D655">
        <v>12.7</v>
      </c>
      <c r="G655">
        <v>217.88</v>
      </c>
      <c r="H655">
        <v>171.04</v>
      </c>
      <c r="I655">
        <v>81266.5</v>
      </c>
      <c r="J655">
        <v>2908.6</v>
      </c>
      <c r="K655">
        <v>19.309999999999999</v>
      </c>
      <c r="M655">
        <v>3788.9</v>
      </c>
      <c r="S655">
        <v>162533</v>
      </c>
      <c r="T655">
        <v>5946.3</v>
      </c>
      <c r="AN655">
        <v>1.76</v>
      </c>
    </row>
    <row r="656" spans="1:40" x14ac:dyDescent="0.25">
      <c r="A656" s="23" t="s">
        <v>140</v>
      </c>
      <c r="B656">
        <v>609.6</v>
      </c>
      <c r="D656">
        <v>6.35</v>
      </c>
      <c r="G656">
        <v>120.34</v>
      </c>
      <c r="H656">
        <v>94.47</v>
      </c>
      <c r="I656">
        <v>54748.3</v>
      </c>
      <c r="J656">
        <v>1796.2</v>
      </c>
      <c r="K656">
        <v>21.33</v>
      </c>
      <c r="M656">
        <v>2311.4</v>
      </c>
      <c r="S656">
        <v>109496.5</v>
      </c>
      <c r="T656">
        <v>3628</v>
      </c>
      <c r="AN656">
        <v>1.92</v>
      </c>
    </row>
    <row r="657" spans="1:40" x14ac:dyDescent="0.25">
      <c r="A657" s="23" t="s">
        <v>140</v>
      </c>
      <c r="B657">
        <v>609.6</v>
      </c>
      <c r="D657">
        <v>9.5299999999999994</v>
      </c>
      <c r="G657">
        <v>179.66</v>
      </c>
      <c r="H657">
        <v>141.03</v>
      </c>
      <c r="I657">
        <v>80884.399999999994</v>
      </c>
      <c r="J657">
        <v>2653.7</v>
      </c>
      <c r="K657">
        <v>21.22</v>
      </c>
      <c r="M657">
        <v>3432.6</v>
      </c>
      <c r="S657">
        <v>161768.79999999999</v>
      </c>
      <c r="T657">
        <v>5387.6</v>
      </c>
      <c r="AN657">
        <v>1.92</v>
      </c>
    </row>
    <row r="658" spans="1:40" x14ac:dyDescent="0.25">
      <c r="A658" s="23" t="s">
        <v>140</v>
      </c>
      <c r="B658">
        <v>609.6</v>
      </c>
      <c r="D658">
        <v>12.7</v>
      </c>
      <c r="G658">
        <v>238.15</v>
      </c>
      <c r="H658">
        <v>186.95</v>
      </c>
      <c r="I658">
        <v>106111.3</v>
      </c>
      <c r="J658">
        <v>3481.3</v>
      </c>
      <c r="K658">
        <v>21.11</v>
      </c>
      <c r="M658">
        <v>4526.5</v>
      </c>
      <c r="S658">
        <v>212222.5</v>
      </c>
      <c r="T658">
        <v>7104.1</v>
      </c>
      <c r="AN658">
        <v>1.92</v>
      </c>
    </row>
    <row r="659" spans="1:40" x14ac:dyDescent="0.25">
      <c r="A659" s="23" t="s">
        <v>140</v>
      </c>
      <c r="B659">
        <v>609.6</v>
      </c>
      <c r="D659">
        <v>15.87</v>
      </c>
      <c r="G659">
        <v>296.02</v>
      </c>
      <c r="H659">
        <v>232.37</v>
      </c>
      <c r="I659">
        <v>130530.1</v>
      </c>
      <c r="J659">
        <v>4282.5</v>
      </c>
      <c r="K659">
        <v>21</v>
      </c>
      <c r="M659">
        <v>5596.9</v>
      </c>
      <c r="S659">
        <v>261060.1</v>
      </c>
      <c r="T659">
        <v>8783.2000000000007</v>
      </c>
      <c r="AN659">
        <v>1.92</v>
      </c>
    </row>
    <row r="660" spans="1:40" x14ac:dyDescent="0.25">
      <c r="A660" s="23" t="s">
        <v>140</v>
      </c>
      <c r="B660">
        <v>762</v>
      </c>
      <c r="D660">
        <v>7.92</v>
      </c>
      <c r="G660">
        <v>187.63</v>
      </c>
      <c r="H660">
        <v>147.29</v>
      </c>
      <c r="I660">
        <v>133377.29999999999</v>
      </c>
      <c r="J660">
        <v>3500.7</v>
      </c>
      <c r="K660">
        <v>26.66</v>
      </c>
      <c r="M660">
        <v>4504.7</v>
      </c>
      <c r="S660">
        <v>266754.5</v>
      </c>
      <c r="T660">
        <v>7070.7</v>
      </c>
      <c r="AN660">
        <v>2.39</v>
      </c>
    </row>
    <row r="661" spans="1:40" x14ac:dyDescent="0.25">
      <c r="A661" s="23" t="s">
        <v>140</v>
      </c>
      <c r="B661">
        <v>762</v>
      </c>
      <c r="D661">
        <v>9.5299999999999994</v>
      </c>
      <c r="G661">
        <v>225.28</v>
      </c>
      <c r="H661">
        <v>176.85</v>
      </c>
      <c r="I661">
        <v>159472.79999999999</v>
      </c>
      <c r="J661">
        <v>4185.6000000000004</v>
      </c>
      <c r="K661">
        <v>26.61</v>
      </c>
      <c r="M661">
        <v>5397.4</v>
      </c>
      <c r="S661">
        <v>318945.59999999998</v>
      </c>
      <c r="T661">
        <v>8471.7000000000007</v>
      </c>
      <c r="AN661">
        <v>2.39</v>
      </c>
    </row>
    <row r="662" spans="1:40" x14ac:dyDescent="0.25">
      <c r="A662" s="23" t="s">
        <v>140</v>
      </c>
      <c r="B662">
        <v>762</v>
      </c>
      <c r="D662">
        <v>12.7</v>
      </c>
      <c r="G662">
        <v>298.95999999999998</v>
      </c>
      <c r="H662">
        <v>234.68</v>
      </c>
      <c r="I662">
        <v>209870.9</v>
      </c>
      <c r="J662">
        <v>5508.4</v>
      </c>
      <c r="K662">
        <v>26.5</v>
      </c>
      <c r="M662">
        <v>7132.5</v>
      </c>
      <c r="S662">
        <v>419741.7</v>
      </c>
      <c r="T662">
        <v>11194.8</v>
      </c>
      <c r="AN662">
        <v>2.39</v>
      </c>
    </row>
    <row r="663" spans="1:40" x14ac:dyDescent="0.25">
      <c r="A663" s="23" t="s">
        <v>140</v>
      </c>
      <c r="B663">
        <v>762</v>
      </c>
      <c r="D663">
        <v>15.87</v>
      </c>
      <c r="G663">
        <v>372</v>
      </c>
      <c r="H663">
        <v>292.02</v>
      </c>
      <c r="I663">
        <v>258984.2</v>
      </c>
      <c r="J663">
        <v>6797.5</v>
      </c>
      <c r="K663">
        <v>26.39</v>
      </c>
      <c r="M663">
        <v>8838.1</v>
      </c>
      <c r="S663">
        <v>517968.5</v>
      </c>
      <c r="T663">
        <v>13870.9</v>
      </c>
      <c r="AN663">
        <v>2.39</v>
      </c>
    </row>
    <row r="664" spans="1:40" x14ac:dyDescent="0.25">
      <c r="A664" s="23" t="s">
        <v>140</v>
      </c>
      <c r="B664">
        <v>914.4</v>
      </c>
      <c r="D664">
        <v>7.92</v>
      </c>
      <c r="G664">
        <v>225.55</v>
      </c>
      <c r="H664">
        <v>177.05</v>
      </c>
      <c r="I664">
        <v>231681</v>
      </c>
      <c r="J664">
        <v>5067</v>
      </c>
      <c r="K664">
        <v>32.049999999999997</v>
      </c>
      <c r="M664">
        <v>6509</v>
      </c>
      <c r="S664">
        <v>463361</v>
      </c>
      <c r="T664">
        <v>10217</v>
      </c>
      <c r="AN664">
        <v>2.87</v>
      </c>
    </row>
    <row r="665" spans="1:40" x14ac:dyDescent="0.25">
      <c r="A665" s="23" t="s">
        <v>140</v>
      </c>
      <c r="B665">
        <v>914.4</v>
      </c>
      <c r="D665">
        <v>9.5299999999999994</v>
      </c>
      <c r="G665">
        <v>270.91000000000003</v>
      </c>
      <c r="H665">
        <v>212.67</v>
      </c>
      <c r="I665">
        <v>277304</v>
      </c>
      <c r="J665">
        <v>6065</v>
      </c>
      <c r="K665">
        <v>31.99</v>
      </c>
      <c r="M665">
        <v>7805</v>
      </c>
      <c r="S665">
        <v>554608</v>
      </c>
      <c r="T665">
        <v>12251</v>
      </c>
      <c r="AN665">
        <v>2.87</v>
      </c>
    </row>
    <row r="666" spans="1:40" x14ac:dyDescent="0.25">
      <c r="A666" s="23" t="s">
        <v>140</v>
      </c>
      <c r="B666">
        <v>914.4</v>
      </c>
      <c r="D666">
        <v>12.7</v>
      </c>
      <c r="G666">
        <v>359.76</v>
      </c>
      <c r="H666">
        <v>282.41000000000003</v>
      </c>
      <c r="I666">
        <v>365706</v>
      </c>
      <c r="J666">
        <v>7999</v>
      </c>
      <c r="K666">
        <v>31.88</v>
      </c>
      <c r="M666">
        <v>10329</v>
      </c>
      <c r="S666">
        <v>731413</v>
      </c>
      <c r="T666">
        <v>16212</v>
      </c>
      <c r="AN666">
        <v>2.87</v>
      </c>
    </row>
    <row r="667" spans="1:40" x14ac:dyDescent="0.25">
      <c r="A667" s="23" t="s">
        <v>140</v>
      </c>
      <c r="B667">
        <v>914.4</v>
      </c>
      <c r="D667">
        <v>15.87</v>
      </c>
      <c r="G667">
        <v>447.98</v>
      </c>
      <c r="H667">
        <v>351.66</v>
      </c>
      <c r="I667">
        <v>452238</v>
      </c>
      <c r="J667">
        <v>9891</v>
      </c>
      <c r="K667">
        <v>31.77</v>
      </c>
      <c r="M667">
        <v>12817</v>
      </c>
      <c r="S667">
        <v>904475</v>
      </c>
      <c r="T667">
        <v>20116</v>
      </c>
      <c r="AN667">
        <v>2.87</v>
      </c>
    </row>
    <row r="668" spans="1:40" x14ac:dyDescent="0.25">
      <c r="A668" s="23" t="s">
        <v>140</v>
      </c>
      <c r="B668">
        <v>914.4</v>
      </c>
      <c r="D668">
        <v>19.05</v>
      </c>
      <c r="G668">
        <v>535.84</v>
      </c>
      <c r="H668">
        <v>420.64</v>
      </c>
      <c r="I668">
        <v>537188</v>
      </c>
      <c r="J668">
        <v>11750</v>
      </c>
      <c r="K668">
        <v>31.66</v>
      </c>
      <c r="M668">
        <v>15277</v>
      </c>
      <c r="S668">
        <v>1074377</v>
      </c>
      <c r="T668">
        <v>23976</v>
      </c>
      <c r="AN668">
        <v>2.87</v>
      </c>
    </row>
    <row r="669" spans="1:40" x14ac:dyDescent="0.25">
      <c r="A669" s="23" t="s">
        <v>140</v>
      </c>
      <c r="B669">
        <v>1066.8</v>
      </c>
      <c r="D669">
        <v>9.5299999999999994</v>
      </c>
      <c r="G669">
        <v>316.54000000000002</v>
      </c>
      <c r="H669">
        <v>248.48</v>
      </c>
      <c r="I669">
        <v>442326</v>
      </c>
      <c r="J669">
        <v>8293</v>
      </c>
      <c r="K669">
        <v>37.380000000000003</v>
      </c>
      <c r="M669">
        <v>10655</v>
      </c>
      <c r="S669">
        <v>884652</v>
      </c>
      <c r="T669">
        <v>16725</v>
      </c>
      <c r="AN669">
        <v>3.35</v>
      </c>
    </row>
    <row r="670" spans="1:40" x14ac:dyDescent="0.25">
      <c r="A670" s="23" t="s">
        <v>140</v>
      </c>
      <c r="B670">
        <v>1066.8</v>
      </c>
      <c r="D670">
        <v>11.1</v>
      </c>
      <c r="G670">
        <v>368.14</v>
      </c>
      <c r="H670">
        <v>288.99</v>
      </c>
      <c r="I670">
        <v>512919</v>
      </c>
      <c r="J670">
        <v>9616</v>
      </c>
      <c r="K670">
        <v>37.33</v>
      </c>
      <c r="M670">
        <v>12374</v>
      </c>
      <c r="S670">
        <v>1025839</v>
      </c>
      <c r="T670">
        <v>19422</v>
      </c>
      <c r="AN670">
        <v>3.35</v>
      </c>
    </row>
    <row r="671" spans="1:40" x14ac:dyDescent="0.25">
      <c r="A671" s="23" t="s">
        <v>140</v>
      </c>
      <c r="B671">
        <v>1066.8</v>
      </c>
      <c r="D671">
        <v>12.7</v>
      </c>
      <c r="G671">
        <v>420.57</v>
      </c>
      <c r="H671">
        <v>330.15</v>
      </c>
      <c r="I671">
        <v>584210</v>
      </c>
      <c r="J671">
        <v>10953</v>
      </c>
      <c r="K671">
        <v>37.270000000000003</v>
      </c>
      <c r="M671">
        <v>14115</v>
      </c>
      <c r="S671">
        <v>1168419</v>
      </c>
      <c r="T671">
        <v>22155</v>
      </c>
      <c r="AN671">
        <v>3.35</v>
      </c>
    </row>
    <row r="672" spans="1:40" x14ac:dyDescent="0.25">
      <c r="A672" s="23" t="s">
        <v>140</v>
      </c>
      <c r="B672">
        <v>1066.8</v>
      </c>
      <c r="D672">
        <v>15.87</v>
      </c>
      <c r="G672">
        <v>523.96</v>
      </c>
      <c r="H672">
        <v>411.31</v>
      </c>
      <c r="I672">
        <v>723525</v>
      </c>
      <c r="J672">
        <v>13564</v>
      </c>
      <c r="K672">
        <v>37.159999999999997</v>
      </c>
      <c r="M672">
        <v>17533</v>
      </c>
      <c r="S672">
        <v>1447051</v>
      </c>
      <c r="T672">
        <v>27518</v>
      </c>
      <c r="AN672">
        <v>3.35</v>
      </c>
    </row>
    <row r="673" spans="1:40" x14ac:dyDescent="0.25">
      <c r="A673" s="23" t="s">
        <v>140</v>
      </c>
      <c r="B673">
        <v>1066.8</v>
      </c>
      <c r="D673">
        <v>19.05</v>
      </c>
      <c r="G673">
        <v>627.04999999999995</v>
      </c>
      <c r="H673">
        <v>492.23</v>
      </c>
      <c r="I673">
        <v>860732</v>
      </c>
      <c r="J673">
        <v>16137</v>
      </c>
      <c r="K673">
        <v>37.049999999999997</v>
      </c>
      <c r="M673">
        <v>20919</v>
      </c>
      <c r="S673">
        <v>1721464</v>
      </c>
      <c r="T673">
        <v>32833</v>
      </c>
      <c r="AN673">
        <v>3.35</v>
      </c>
    </row>
    <row r="674" spans="1:40" x14ac:dyDescent="0.25">
      <c r="A674" s="23" t="s">
        <v>140</v>
      </c>
      <c r="B674">
        <v>1219.2</v>
      </c>
      <c r="D674">
        <v>9.5299999999999994</v>
      </c>
      <c r="G674">
        <v>362.17</v>
      </c>
      <c r="H674">
        <v>284.3</v>
      </c>
      <c r="I674">
        <v>662487</v>
      </c>
      <c r="J674">
        <v>10868</v>
      </c>
      <c r="K674">
        <v>42.77</v>
      </c>
      <c r="M674">
        <v>13948</v>
      </c>
      <c r="S674">
        <v>1324973</v>
      </c>
      <c r="T674">
        <v>21894</v>
      </c>
      <c r="AN674">
        <v>3.83</v>
      </c>
    </row>
    <row r="675" spans="1:40" x14ac:dyDescent="0.25">
      <c r="A675" s="23" t="s">
        <v>140</v>
      </c>
      <c r="B675">
        <v>1219.2</v>
      </c>
      <c r="D675">
        <v>11.1</v>
      </c>
      <c r="G675">
        <v>421.28</v>
      </c>
      <c r="H675">
        <v>330.71</v>
      </c>
      <c r="I675">
        <v>768643</v>
      </c>
      <c r="J675">
        <v>12609</v>
      </c>
      <c r="K675">
        <v>42.71</v>
      </c>
      <c r="M675">
        <v>16204</v>
      </c>
      <c r="S675">
        <v>1537286</v>
      </c>
      <c r="T675">
        <v>25435</v>
      </c>
      <c r="AN675">
        <v>3.83</v>
      </c>
    </row>
    <row r="676" spans="1:40" x14ac:dyDescent="0.25">
      <c r="A676" s="23" t="s">
        <v>140</v>
      </c>
      <c r="B676">
        <v>1219.2</v>
      </c>
      <c r="D676">
        <v>12.7</v>
      </c>
      <c r="G676">
        <v>481.37</v>
      </c>
      <c r="H676">
        <v>377.88</v>
      </c>
      <c r="I676">
        <v>875972</v>
      </c>
      <c r="J676">
        <v>14370</v>
      </c>
      <c r="K676">
        <v>42.66</v>
      </c>
      <c r="M676">
        <v>18491</v>
      </c>
      <c r="S676">
        <v>1751944</v>
      </c>
      <c r="T676">
        <v>29024</v>
      </c>
      <c r="AN676">
        <v>3.83</v>
      </c>
    </row>
    <row r="677" spans="1:40" x14ac:dyDescent="0.25">
      <c r="A677" s="23" t="s">
        <v>140</v>
      </c>
      <c r="B677">
        <v>1219.2</v>
      </c>
      <c r="D677">
        <v>15.87</v>
      </c>
      <c r="G677">
        <v>599.95000000000005</v>
      </c>
      <c r="H677">
        <v>470.96</v>
      </c>
      <c r="I677">
        <v>1086083</v>
      </c>
      <c r="J677">
        <v>17816</v>
      </c>
      <c r="K677">
        <v>42.55</v>
      </c>
      <c r="M677">
        <v>22986</v>
      </c>
      <c r="S677">
        <v>2172167</v>
      </c>
      <c r="T677">
        <v>36078</v>
      </c>
      <c r="AN677">
        <v>3.83</v>
      </c>
    </row>
    <row r="678" spans="1:40" x14ac:dyDescent="0.25">
      <c r="A678" s="23" t="s">
        <v>140</v>
      </c>
      <c r="B678">
        <v>1219.2</v>
      </c>
      <c r="D678">
        <v>19.05</v>
      </c>
      <c r="G678">
        <v>718.26</v>
      </c>
      <c r="H678">
        <v>563.83000000000004</v>
      </c>
      <c r="I678">
        <v>1293503</v>
      </c>
      <c r="J678">
        <v>21219</v>
      </c>
      <c r="K678">
        <v>42.44</v>
      </c>
      <c r="M678">
        <v>27447</v>
      </c>
      <c r="S678">
        <v>2587006</v>
      </c>
      <c r="T678">
        <v>43079</v>
      </c>
      <c r="AN678">
        <v>3.83</v>
      </c>
    </row>
    <row r="679" spans="1:40" x14ac:dyDescent="0.25">
      <c r="A679" s="23" t="s">
        <v>140</v>
      </c>
      <c r="B679">
        <v>1320.8</v>
      </c>
      <c r="D679">
        <v>9.5299999999999994</v>
      </c>
      <c r="G679">
        <v>392.59</v>
      </c>
      <c r="H679">
        <v>308.18</v>
      </c>
      <c r="I679">
        <v>843818</v>
      </c>
      <c r="J679">
        <v>12777</v>
      </c>
      <c r="K679">
        <v>46.36</v>
      </c>
      <c r="M679">
        <v>16390</v>
      </c>
      <c r="S679">
        <v>1687636</v>
      </c>
      <c r="T679">
        <v>25726</v>
      </c>
      <c r="AN679">
        <v>4.1500000000000004</v>
      </c>
    </row>
    <row r="680" spans="1:40" x14ac:dyDescent="0.25">
      <c r="A680" s="23" t="s">
        <v>140</v>
      </c>
      <c r="B680">
        <v>1320.8</v>
      </c>
      <c r="D680">
        <v>11.1</v>
      </c>
      <c r="G680">
        <v>456.71</v>
      </c>
      <c r="H680">
        <v>358.52</v>
      </c>
      <c r="I680">
        <v>979323</v>
      </c>
      <c r="J680">
        <v>14829</v>
      </c>
      <c r="K680">
        <v>46.31</v>
      </c>
      <c r="M680">
        <v>19044</v>
      </c>
      <c r="S680">
        <v>1958647</v>
      </c>
      <c r="T680">
        <v>29893</v>
      </c>
      <c r="AN680">
        <v>4.1500000000000004</v>
      </c>
    </row>
    <row r="681" spans="1:40" x14ac:dyDescent="0.25">
      <c r="A681" s="23" t="s">
        <v>140</v>
      </c>
      <c r="B681">
        <v>1320.8</v>
      </c>
      <c r="D681">
        <v>12.7</v>
      </c>
      <c r="G681">
        <v>521.91</v>
      </c>
      <c r="H681">
        <v>409.7</v>
      </c>
      <c r="I681">
        <v>1116411</v>
      </c>
      <c r="J681">
        <v>16905</v>
      </c>
      <c r="K681">
        <v>46.25</v>
      </c>
      <c r="M681">
        <v>21736</v>
      </c>
      <c r="S681">
        <v>2232821</v>
      </c>
      <c r="T681">
        <v>34118</v>
      </c>
      <c r="AN681">
        <v>4.1500000000000004</v>
      </c>
    </row>
    <row r="682" spans="1:40" x14ac:dyDescent="0.25">
      <c r="A682" s="23" t="s">
        <v>140</v>
      </c>
      <c r="B682">
        <v>1320.8</v>
      </c>
      <c r="D682">
        <v>15.87</v>
      </c>
      <c r="G682">
        <v>650.6</v>
      </c>
      <c r="H682">
        <v>510.72</v>
      </c>
      <c r="I682">
        <v>1385030</v>
      </c>
      <c r="J682">
        <v>20973</v>
      </c>
      <c r="K682">
        <v>46.14</v>
      </c>
      <c r="M682">
        <v>27031</v>
      </c>
      <c r="S682">
        <v>2770061</v>
      </c>
      <c r="T682">
        <v>42428</v>
      </c>
      <c r="AN682">
        <v>4.1500000000000004</v>
      </c>
    </row>
    <row r="683" spans="1:40" x14ac:dyDescent="0.25">
      <c r="A683" s="23" t="s">
        <v>140</v>
      </c>
      <c r="B683">
        <v>1320.8</v>
      </c>
      <c r="D683">
        <v>19.05</v>
      </c>
      <c r="G683">
        <v>779.06</v>
      </c>
      <c r="H683">
        <v>611.55999999999995</v>
      </c>
      <c r="I683">
        <v>1650544</v>
      </c>
      <c r="J683">
        <v>24993</v>
      </c>
      <c r="K683">
        <v>46.03</v>
      </c>
      <c r="M683">
        <v>32290</v>
      </c>
      <c r="S683">
        <v>3301089</v>
      </c>
      <c r="T683">
        <v>50682</v>
      </c>
      <c r="AN683">
        <v>4.1500000000000004</v>
      </c>
    </row>
    <row r="684" spans="1:40" x14ac:dyDescent="0.25">
      <c r="A684" s="23" t="s">
        <v>140</v>
      </c>
      <c r="B684">
        <v>1422.4</v>
      </c>
      <c r="D684">
        <v>9.5299999999999994</v>
      </c>
      <c r="G684">
        <v>423</v>
      </c>
      <c r="H684">
        <v>332.06</v>
      </c>
      <c r="I684">
        <v>1055543</v>
      </c>
      <c r="J684">
        <v>14842</v>
      </c>
      <c r="K684">
        <v>49.95</v>
      </c>
      <c r="M684">
        <v>19028</v>
      </c>
      <c r="S684">
        <v>2111085</v>
      </c>
      <c r="T684">
        <v>29867</v>
      </c>
      <c r="AN684">
        <v>4.47</v>
      </c>
    </row>
    <row r="685" spans="1:40" x14ac:dyDescent="0.25">
      <c r="A685" s="23" t="s">
        <v>140</v>
      </c>
      <c r="B685">
        <v>1422.4</v>
      </c>
      <c r="D685">
        <v>11.1</v>
      </c>
      <c r="G685">
        <v>492.14</v>
      </c>
      <c r="H685">
        <v>386.33</v>
      </c>
      <c r="I685">
        <v>1225362</v>
      </c>
      <c r="J685">
        <v>17229</v>
      </c>
      <c r="K685">
        <v>49.9</v>
      </c>
      <c r="M685">
        <v>22113</v>
      </c>
      <c r="S685">
        <v>2450724</v>
      </c>
      <c r="T685">
        <v>34711</v>
      </c>
      <c r="AN685">
        <v>4.47</v>
      </c>
    </row>
    <row r="686" spans="1:40" x14ac:dyDescent="0.25">
      <c r="A686" s="23" t="s">
        <v>140</v>
      </c>
      <c r="B686">
        <v>1422.4</v>
      </c>
      <c r="D686">
        <v>12.7</v>
      </c>
      <c r="G686">
        <v>562.45000000000005</v>
      </c>
      <c r="H686">
        <v>441.52</v>
      </c>
      <c r="I686">
        <v>1397255</v>
      </c>
      <c r="J686">
        <v>19646</v>
      </c>
      <c r="K686">
        <v>49.84</v>
      </c>
      <c r="M686">
        <v>25244</v>
      </c>
      <c r="S686">
        <v>2794509</v>
      </c>
      <c r="T686">
        <v>39624</v>
      </c>
      <c r="AN686">
        <v>4.47</v>
      </c>
    </row>
    <row r="687" spans="1:40" x14ac:dyDescent="0.25">
      <c r="A687" s="23" t="s">
        <v>140</v>
      </c>
      <c r="B687">
        <v>1422.4</v>
      </c>
      <c r="D687">
        <v>15.87</v>
      </c>
      <c r="G687">
        <v>701.25</v>
      </c>
      <c r="H687">
        <v>550.48</v>
      </c>
      <c r="I687">
        <v>1734346</v>
      </c>
      <c r="J687">
        <v>24386</v>
      </c>
      <c r="K687">
        <v>49.73</v>
      </c>
      <c r="M687">
        <v>31404</v>
      </c>
      <c r="S687">
        <v>3468692</v>
      </c>
      <c r="T687">
        <v>49292</v>
      </c>
      <c r="AN687">
        <v>4.47</v>
      </c>
    </row>
    <row r="688" spans="1:40" x14ac:dyDescent="0.25">
      <c r="A688" s="23" t="s">
        <v>140</v>
      </c>
      <c r="B688">
        <v>1422.4</v>
      </c>
      <c r="D688">
        <v>19.05</v>
      </c>
      <c r="G688">
        <v>839.87</v>
      </c>
      <c r="H688">
        <v>659.3</v>
      </c>
      <c r="I688">
        <v>2067900</v>
      </c>
      <c r="J688">
        <v>29076</v>
      </c>
      <c r="K688">
        <v>49.62</v>
      </c>
      <c r="M688">
        <v>37527</v>
      </c>
      <c r="S688">
        <v>4135799</v>
      </c>
      <c r="T688">
        <v>58902</v>
      </c>
      <c r="AN688">
        <v>4.47</v>
      </c>
    </row>
    <row r="689" spans="1:40" x14ac:dyDescent="0.25">
      <c r="A689" s="23" t="s">
        <v>140</v>
      </c>
      <c r="B689">
        <v>1524</v>
      </c>
      <c r="D689">
        <v>9.5299999999999994</v>
      </c>
      <c r="G689">
        <v>453.42</v>
      </c>
      <c r="H689">
        <v>355.94</v>
      </c>
      <c r="I689">
        <v>1300016</v>
      </c>
      <c r="J689">
        <v>17061</v>
      </c>
      <c r="K689">
        <v>53.55</v>
      </c>
      <c r="M689">
        <v>21863</v>
      </c>
      <c r="S689">
        <v>2600031</v>
      </c>
      <c r="T689">
        <v>34317</v>
      </c>
      <c r="AN689">
        <v>4.79</v>
      </c>
    </row>
    <row r="690" spans="1:40" x14ac:dyDescent="0.25">
      <c r="A690" s="23" t="s">
        <v>140</v>
      </c>
      <c r="B690">
        <v>1524</v>
      </c>
      <c r="D690">
        <v>11.1</v>
      </c>
      <c r="G690">
        <v>527.57000000000005</v>
      </c>
      <c r="H690">
        <v>414.15</v>
      </c>
      <c r="I690">
        <v>1509501</v>
      </c>
      <c r="J690">
        <v>19810</v>
      </c>
      <c r="K690">
        <v>53.49</v>
      </c>
      <c r="M690">
        <v>25412</v>
      </c>
      <c r="S690">
        <v>3019003</v>
      </c>
      <c r="T690">
        <v>39888</v>
      </c>
      <c r="AN690">
        <v>4.79</v>
      </c>
    </row>
    <row r="691" spans="1:40" x14ac:dyDescent="0.25">
      <c r="A691" s="23" t="s">
        <v>140</v>
      </c>
      <c r="B691">
        <v>1524</v>
      </c>
      <c r="D691">
        <v>12.7</v>
      </c>
      <c r="G691">
        <v>602.98</v>
      </c>
      <c r="H691">
        <v>473.34</v>
      </c>
      <c r="I691">
        <v>1721642</v>
      </c>
      <c r="J691">
        <v>22594</v>
      </c>
      <c r="K691">
        <v>53.43</v>
      </c>
      <c r="M691">
        <v>29014</v>
      </c>
      <c r="S691">
        <v>3443285</v>
      </c>
      <c r="T691">
        <v>45541</v>
      </c>
      <c r="AN691">
        <v>4.79</v>
      </c>
    </row>
    <row r="692" spans="1:40" x14ac:dyDescent="0.25">
      <c r="A692" s="23" t="s">
        <v>140</v>
      </c>
      <c r="B692">
        <v>1524</v>
      </c>
      <c r="D692">
        <v>15.87</v>
      </c>
      <c r="G692">
        <v>751.91</v>
      </c>
      <c r="H692">
        <v>590.25</v>
      </c>
      <c r="I692">
        <v>2137951</v>
      </c>
      <c r="J692">
        <v>28057</v>
      </c>
      <c r="K692">
        <v>53.32</v>
      </c>
      <c r="M692">
        <v>36104</v>
      </c>
      <c r="S692">
        <v>4275903</v>
      </c>
      <c r="T692">
        <v>56670</v>
      </c>
      <c r="AN692">
        <v>4.79</v>
      </c>
    </row>
    <row r="693" spans="1:40" x14ac:dyDescent="0.25">
      <c r="A693" s="23" t="s">
        <v>140</v>
      </c>
      <c r="B693">
        <v>1524</v>
      </c>
      <c r="D693">
        <v>19.05</v>
      </c>
      <c r="G693">
        <v>900.67</v>
      </c>
      <c r="H693">
        <v>707.03</v>
      </c>
      <c r="I693">
        <v>2550276</v>
      </c>
      <c r="J693">
        <v>33468</v>
      </c>
      <c r="K693">
        <v>53.21</v>
      </c>
      <c r="M693">
        <v>43157</v>
      </c>
      <c r="S693">
        <v>5100553</v>
      </c>
      <c r="T693">
        <v>67739</v>
      </c>
      <c r="AN693">
        <v>4.79</v>
      </c>
    </row>
    <row r="694" spans="1:40" x14ac:dyDescent="0.25">
      <c r="A694" s="23" t="s">
        <v>140</v>
      </c>
      <c r="B694">
        <v>1828.8</v>
      </c>
      <c r="D694">
        <v>12.7</v>
      </c>
      <c r="G694">
        <v>724.59</v>
      </c>
      <c r="H694">
        <v>568.79999999999995</v>
      </c>
      <c r="I694">
        <v>2987450</v>
      </c>
      <c r="J694">
        <v>32671</v>
      </c>
      <c r="K694">
        <v>64.209999999999994</v>
      </c>
      <c r="M694">
        <v>41896</v>
      </c>
      <c r="S694">
        <v>5974901</v>
      </c>
      <c r="T694">
        <v>65763</v>
      </c>
      <c r="AN694">
        <v>5.75</v>
      </c>
    </row>
    <row r="695" spans="1:40" x14ac:dyDescent="0.25">
      <c r="A695" s="23" t="s">
        <v>140</v>
      </c>
      <c r="B695">
        <v>1828.8</v>
      </c>
      <c r="D695">
        <v>15.87</v>
      </c>
      <c r="G695">
        <v>903.87</v>
      </c>
      <c r="H695">
        <v>709.54</v>
      </c>
      <c r="I695">
        <v>3713725</v>
      </c>
      <c r="J695">
        <v>40614</v>
      </c>
      <c r="K695">
        <v>64.099999999999994</v>
      </c>
      <c r="M695">
        <v>52172</v>
      </c>
      <c r="S695">
        <v>7427451</v>
      </c>
      <c r="T695">
        <v>81891</v>
      </c>
      <c r="AN695">
        <v>5.75</v>
      </c>
    </row>
    <row r="696" spans="1:40" x14ac:dyDescent="0.25">
      <c r="A696" s="23" t="s">
        <v>140</v>
      </c>
      <c r="B696">
        <v>1828.8</v>
      </c>
      <c r="D696">
        <v>19.05</v>
      </c>
      <c r="G696">
        <v>1083.0899999999999</v>
      </c>
      <c r="H696">
        <v>850.22</v>
      </c>
      <c r="I696">
        <v>4434609</v>
      </c>
      <c r="J696">
        <v>48497</v>
      </c>
      <c r="K696">
        <v>63.99</v>
      </c>
      <c r="M696">
        <v>62407</v>
      </c>
      <c r="S696">
        <v>8869218</v>
      </c>
      <c r="T696">
        <v>97956</v>
      </c>
      <c r="AN696">
        <v>5.75</v>
      </c>
    </row>
    <row r="697" spans="1:40" x14ac:dyDescent="0.25">
      <c r="A697" s="23" t="s">
        <v>139</v>
      </c>
      <c r="B697">
        <v>15</v>
      </c>
      <c r="D697">
        <v>0.7</v>
      </c>
      <c r="G697">
        <v>0.38800000000000001</v>
      </c>
      <c r="H697">
        <v>0.30399999999999999</v>
      </c>
      <c r="I697">
        <v>0.13</v>
      </c>
      <c r="J697">
        <v>0.17299999999999999</v>
      </c>
      <c r="K697">
        <v>0.57899999999999996</v>
      </c>
      <c r="M697">
        <v>0.20599999999999999</v>
      </c>
      <c r="S697">
        <v>0.20300000000000001</v>
      </c>
      <c r="T697">
        <v>0.28499999999999998</v>
      </c>
      <c r="AN697">
        <v>5.8000000000000003E-2</v>
      </c>
    </row>
    <row r="698" spans="1:40" x14ac:dyDescent="0.25">
      <c r="A698" s="23" t="s">
        <v>139</v>
      </c>
      <c r="B698">
        <v>15</v>
      </c>
      <c r="D698">
        <v>0.9</v>
      </c>
      <c r="G698">
        <v>0.48699999999999999</v>
      </c>
      <c r="H698">
        <v>0.38200000000000001</v>
      </c>
      <c r="I698">
        <v>0.158</v>
      </c>
      <c r="J698">
        <v>0.21</v>
      </c>
      <c r="K698">
        <v>0.56899999999999995</v>
      </c>
      <c r="M698">
        <v>0.254</v>
      </c>
      <c r="S698">
        <v>0.248</v>
      </c>
      <c r="T698">
        <v>0.35499999999999998</v>
      </c>
      <c r="AN698">
        <v>5.7000000000000002E-2</v>
      </c>
    </row>
    <row r="699" spans="1:40" x14ac:dyDescent="0.25">
      <c r="A699" s="23" t="s">
        <v>139</v>
      </c>
      <c r="B699">
        <v>15</v>
      </c>
      <c r="D699">
        <v>1.25</v>
      </c>
      <c r="G699">
        <v>0.64700000000000002</v>
      </c>
      <c r="H699">
        <v>0.50800000000000001</v>
      </c>
      <c r="I699">
        <v>0.19700000000000001</v>
      </c>
      <c r="J699">
        <v>0.26300000000000001</v>
      </c>
      <c r="K699">
        <v>0.55200000000000005</v>
      </c>
      <c r="M699">
        <v>0.32700000000000001</v>
      </c>
      <c r="S699">
        <v>0.315</v>
      </c>
      <c r="T699">
        <v>0.46500000000000002</v>
      </c>
      <c r="AN699">
        <v>5.6000000000000001E-2</v>
      </c>
    </row>
    <row r="700" spans="1:40" x14ac:dyDescent="0.25">
      <c r="A700" s="23" t="s">
        <v>139</v>
      </c>
      <c r="B700">
        <v>20</v>
      </c>
      <c r="D700">
        <v>0.9</v>
      </c>
      <c r="G700">
        <v>0.66700000000000004</v>
      </c>
      <c r="H700">
        <v>0.52300000000000002</v>
      </c>
      <c r="I700">
        <v>0.39900000000000002</v>
      </c>
      <c r="J700">
        <v>0.39900000000000002</v>
      </c>
      <c r="K700">
        <v>0.77300000000000002</v>
      </c>
      <c r="M700">
        <v>0.47299999999999998</v>
      </c>
      <c r="S700">
        <v>0.622</v>
      </c>
      <c r="T700">
        <v>0.65400000000000003</v>
      </c>
      <c r="AN700">
        <v>7.6999999999999999E-2</v>
      </c>
    </row>
    <row r="701" spans="1:40" x14ac:dyDescent="0.25">
      <c r="A701" s="23" t="s">
        <v>139</v>
      </c>
      <c r="B701">
        <v>20</v>
      </c>
      <c r="D701">
        <v>1.25</v>
      </c>
      <c r="G701">
        <v>0.89700000000000002</v>
      </c>
      <c r="H701">
        <v>0.70399999999999996</v>
      </c>
      <c r="I701">
        <v>0.51300000000000001</v>
      </c>
      <c r="J701">
        <v>0.51300000000000001</v>
      </c>
      <c r="K701">
        <v>0.75600000000000001</v>
      </c>
      <c r="M701">
        <v>0.621</v>
      </c>
      <c r="S701">
        <v>0.81</v>
      </c>
      <c r="T701">
        <v>0.871</v>
      </c>
      <c r="AN701">
        <v>7.5999999999999998E-2</v>
      </c>
    </row>
    <row r="702" spans="1:40" x14ac:dyDescent="0.25">
      <c r="A702" s="23" t="s">
        <v>139</v>
      </c>
      <c r="B702">
        <v>20</v>
      </c>
      <c r="D702">
        <v>1.6</v>
      </c>
      <c r="G702" s="25">
        <v>1112</v>
      </c>
      <c r="H702">
        <v>0.873</v>
      </c>
      <c r="I702">
        <v>0.60699999999999998</v>
      </c>
      <c r="J702">
        <v>0.60699999999999998</v>
      </c>
      <c r="K702">
        <v>0.73899999999999999</v>
      </c>
      <c r="M702">
        <v>0.752</v>
      </c>
      <c r="S702">
        <v>0.96799999999999997</v>
      </c>
      <c r="T702" s="25">
        <v>1068</v>
      </c>
      <c r="AN702">
        <v>7.4999999999999997E-2</v>
      </c>
    </row>
    <row r="703" spans="1:40" x14ac:dyDescent="0.25">
      <c r="A703" s="23" t="s">
        <v>139</v>
      </c>
      <c r="B703">
        <v>25</v>
      </c>
      <c r="D703">
        <v>0.9</v>
      </c>
      <c r="G703">
        <v>0.84699999999999998</v>
      </c>
      <c r="H703">
        <v>0.66500000000000004</v>
      </c>
      <c r="I703">
        <v>0.80900000000000005</v>
      </c>
      <c r="J703">
        <v>0.64700000000000002</v>
      </c>
      <c r="K703">
        <v>0.97699999999999998</v>
      </c>
      <c r="M703">
        <v>0.75900000000000001</v>
      </c>
      <c r="S703" s="25">
        <v>1253</v>
      </c>
      <c r="T703" s="25">
        <v>1043</v>
      </c>
      <c r="AN703">
        <v>9.7000000000000003E-2</v>
      </c>
    </row>
    <row r="704" spans="1:40" x14ac:dyDescent="0.25">
      <c r="A704" s="23" t="s">
        <v>139</v>
      </c>
      <c r="B704">
        <v>25</v>
      </c>
      <c r="D704">
        <v>1.25</v>
      </c>
      <c r="G704" s="25">
        <v>1147</v>
      </c>
      <c r="H704">
        <v>0.90100000000000002</v>
      </c>
      <c r="I704" s="25">
        <v>1058</v>
      </c>
      <c r="J704">
        <v>0.84699999999999998</v>
      </c>
      <c r="K704">
        <v>0.96</v>
      </c>
      <c r="M704" s="25">
        <v>1010</v>
      </c>
      <c r="S704" s="25">
        <v>1657</v>
      </c>
      <c r="T704" s="25">
        <v>1403</v>
      </c>
      <c r="AN704">
        <v>9.6000000000000002E-2</v>
      </c>
    </row>
    <row r="705" spans="1:40" x14ac:dyDescent="0.25">
      <c r="A705" s="23" t="s">
        <v>139</v>
      </c>
      <c r="B705">
        <v>25</v>
      </c>
      <c r="D705">
        <v>1.6</v>
      </c>
      <c r="G705" s="25">
        <v>1432</v>
      </c>
      <c r="H705" s="25">
        <v>1124</v>
      </c>
      <c r="I705" s="25">
        <v>1274</v>
      </c>
      <c r="J705" s="25">
        <v>1019</v>
      </c>
      <c r="K705">
        <v>0.94299999999999995</v>
      </c>
      <c r="M705" s="25">
        <v>1237</v>
      </c>
      <c r="S705" s="25">
        <v>2013</v>
      </c>
      <c r="T705" s="25">
        <v>1736</v>
      </c>
      <c r="AN705">
        <v>9.5000000000000001E-2</v>
      </c>
    </row>
    <row r="706" spans="1:40" x14ac:dyDescent="0.25">
      <c r="A706" s="23" t="s">
        <v>139</v>
      </c>
      <c r="B706">
        <v>25</v>
      </c>
      <c r="D706">
        <v>2</v>
      </c>
      <c r="G706" s="25">
        <v>1737</v>
      </c>
      <c r="H706" s="25">
        <v>1364</v>
      </c>
      <c r="I706" s="25">
        <v>1483</v>
      </c>
      <c r="J706" s="25">
        <v>1186</v>
      </c>
      <c r="K706">
        <v>0.92400000000000004</v>
      </c>
      <c r="M706" s="25">
        <v>1468</v>
      </c>
      <c r="S706" s="25">
        <v>2363</v>
      </c>
      <c r="T706" s="25">
        <v>2085</v>
      </c>
      <c r="AN706">
        <v>9.2999999999999999E-2</v>
      </c>
    </row>
    <row r="707" spans="1:40" x14ac:dyDescent="0.25">
      <c r="A707" s="23" t="s">
        <v>139</v>
      </c>
      <c r="B707">
        <v>30</v>
      </c>
      <c r="D707">
        <v>0.9</v>
      </c>
      <c r="G707" s="25">
        <v>1027</v>
      </c>
      <c r="H707">
        <v>0.80600000000000005</v>
      </c>
      <c r="I707" s="25">
        <v>1433</v>
      </c>
      <c r="J707">
        <v>0.95599999999999996</v>
      </c>
      <c r="K707" s="25">
        <v>1181</v>
      </c>
      <c r="M707" s="25">
        <v>1113</v>
      </c>
      <c r="S707" s="25">
        <v>2210</v>
      </c>
      <c r="T707" s="25">
        <v>1521</v>
      </c>
      <c r="AN707">
        <v>0.11700000000000001</v>
      </c>
    </row>
    <row r="708" spans="1:40" x14ac:dyDescent="0.25">
      <c r="A708" s="23" t="s">
        <v>139</v>
      </c>
      <c r="B708">
        <v>30</v>
      </c>
      <c r="D708">
        <v>1.25</v>
      </c>
      <c r="G708" s="25">
        <v>1397</v>
      </c>
      <c r="H708" s="25">
        <v>1097</v>
      </c>
      <c r="I708" s="25">
        <v>1895</v>
      </c>
      <c r="J708" s="25">
        <v>1263</v>
      </c>
      <c r="K708" s="25">
        <v>1165</v>
      </c>
      <c r="M708" s="25">
        <v>1492</v>
      </c>
      <c r="S708" s="25">
        <v>2949</v>
      </c>
      <c r="T708" s="25">
        <v>2059</v>
      </c>
      <c r="AN708">
        <v>0.11600000000000001</v>
      </c>
    </row>
    <row r="709" spans="1:40" x14ac:dyDescent="0.25">
      <c r="A709" s="23" t="s">
        <v>139</v>
      </c>
      <c r="B709">
        <v>30</v>
      </c>
      <c r="D709">
        <v>1.6</v>
      </c>
      <c r="G709" s="25">
        <v>1752</v>
      </c>
      <c r="H709" s="25">
        <v>1375</v>
      </c>
      <c r="I709" s="25">
        <v>2307</v>
      </c>
      <c r="J709" s="25">
        <v>1538</v>
      </c>
      <c r="K709" s="25">
        <v>1148</v>
      </c>
      <c r="M709" s="25">
        <v>1842</v>
      </c>
      <c r="S709" s="25">
        <v>3620</v>
      </c>
      <c r="T709" s="25">
        <v>2565</v>
      </c>
      <c r="AN709">
        <v>0.115</v>
      </c>
    </row>
    <row r="710" spans="1:40" x14ac:dyDescent="0.25">
      <c r="A710" s="23" t="s">
        <v>139</v>
      </c>
      <c r="B710">
        <v>30</v>
      </c>
      <c r="D710">
        <v>2</v>
      </c>
      <c r="G710" s="25">
        <v>2137</v>
      </c>
      <c r="H710" s="25">
        <v>1678</v>
      </c>
      <c r="I710" s="25">
        <v>2720</v>
      </c>
      <c r="J710" s="25">
        <v>1813</v>
      </c>
      <c r="K710" s="25">
        <v>1128</v>
      </c>
      <c r="M710" s="25">
        <v>2208</v>
      </c>
      <c r="S710" s="25">
        <v>4304</v>
      </c>
      <c r="T710" s="25">
        <v>3105</v>
      </c>
      <c r="AN710">
        <v>0.113</v>
      </c>
    </row>
    <row r="711" spans="1:40" x14ac:dyDescent="0.25">
      <c r="A711" s="23" t="s">
        <v>139</v>
      </c>
      <c r="B711">
        <v>40</v>
      </c>
      <c r="D711">
        <v>1.25</v>
      </c>
      <c r="G711" s="25">
        <v>1897</v>
      </c>
      <c r="H711" s="25">
        <v>1489</v>
      </c>
      <c r="I711" s="25">
        <v>4694</v>
      </c>
      <c r="J711" s="25">
        <v>2347</v>
      </c>
      <c r="K711" s="25">
        <v>1573</v>
      </c>
      <c r="M711" s="25">
        <v>2737</v>
      </c>
      <c r="S711" s="25">
        <v>7244</v>
      </c>
      <c r="T711" s="25">
        <v>3746</v>
      </c>
      <c r="AN711">
        <v>0.156</v>
      </c>
    </row>
    <row r="712" spans="1:40" x14ac:dyDescent="0.25">
      <c r="A712" s="23" t="s">
        <v>139</v>
      </c>
      <c r="B712">
        <v>40</v>
      </c>
      <c r="D712">
        <v>1.6</v>
      </c>
      <c r="G712" s="25">
        <v>2392</v>
      </c>
      <c r="H712" s="25">
        <v>1877</v>
      </c>
      <c r="I712" s="25">
        <v>5791</v>
      </c>
      <c r="J712" s="25">
        <v>2895</v>
      </c>
      <c r="K712" s="25">
        <v>1556</v>
      </c>
      <c r="M712" s="25">
        <v>3412</v>
      </c>
      <c r="S712" s="25">
        <v>8999</v>
      </c>
      <c r="T712" s="25">
        <v>4703</v>
      </c>
      <c r="AN712">
        <v>0.155</v>
      </c>
    </row>
    <row r="713" spans="1:40" x14ac:dyDescent="0.25">
      <c r="A713" s="23" t="s">
        <v>139</v>
      </c>
      <c r="B713">
        <v>40</v>
      </c>
      <c r="D713">
        <v>2</v>
      </c>
      <c r="G713" s="25">
        <v>2937</v>
      </c>
      <c r="H713" s="25">
        <v>2306</v>
      </c>
      <c r="I713" s="25">
        <v>6935</v>
      </c>
      <c r="J713" s="25">
        <v>3468</v>
      </c>
      <c r="K713" s="25">
        <v>1537</v>
      </c>
      <c r="M713" s="25">
        <v>4136</v>
      </c>
      <c r="S713" s="25">
        <v>10857</v>
      </c>
      <c r="T713" s="25">
        <v>5745</v>
      </c>
      <c r="AN713">
        <v>0.153</v>
      </c>
    </row>
    <row r="714" spans="1:40" x14ac:dyDescent="0.25">
      <c r="A714" s="23" t="s">
        <v>139</v>
      </c>
      <c r="B714">
        <v>40</v>
      </c>
      <c r="D714">
        <v>2.5</v>
      </c>
      <c r="G714" s="25">
        <v>3589</v>
      </c>
      <c r="H714" s="25">
        <v>2817</v>
      </c>
      <c r="I714" s="25">
        <v>8209</v>
      </c>
      <c r="J714" s="25">
        <v>4104</v>
      </c>
      <c r="K714" s="25">
        <v>1512</v>
      </c>
      <c r="M714" s="25">
        <v>4971</v>
      </c>
      <c r="S714" s="25">
        <v>12958</v>
      </c>
      <c r="T714" s="25">
        <v>6971</v>
      </c>
      <c r="AN714">
        <v>0.151</v>
      </c>
    </row>
    <row r="715" spans="1:40" x14ac:dyDescent="0.25">
      <c r="A715" s="23" t="s">
        <v>139</v>
      </c>
      <c r="B715">
        <v>50</v>
      </c>
      <c r="D715">
        <v>1.6</v>
      </c>
      <c r="G715" s="25">
        <v>3032</v>
      </c>
      <c r="H715" s="25">
        <v>2380</v>
      </c>
      <c r="I715" s="25">
        <v>11698</v>
      </c>
      <c r="J715" s="25">
        <v>4679</v>
      </c>
      <c r="K715" s="25">
        <v>1964</v>
      </c>
      <c r="M715" s="25">
        <v>5462</v>
      </c>
      <c r="S715" s="25">
        <v>18064</v>
      </c>
      <c r="T715" s="25">
        <v>7480</v>
      </c>
      <c r="AN715">
        <v>0.19500000000000001</v>
      </c>
    </row>
    <row r="716" spans="1:40" x14ac:dyDescent="0.25">
      <c r="A716" s="23" t="s">
        <v>139</v>
      </c>
      <c r="B716">
        <v>50</v>
      </c>
      <c r="D716">
        <v>2</v>
      </c>
      <c r="G716" s="25">
        <v>3737</v>
      </c>
      <c r="H716" s="25">
        <v>2934</v>
      </c>
      <c r="I716" s="25">
        <v>14137</v>
      </c>
      <c r="J716" s="25">
        <v>5655</v>
      </c>
      <c r="K716" s="25">
        <v>1945</v>
      </c>
      <c r="M716" s="25">
        <v>6664</v>
      </c>
      <c r="S716" s="25">
        <v>21970</v>
      </c>
      <c r="T716" s="25">
        <v>9185</v>
      </c>
      <c r="AN716">
        <v>0.193</v>
      </c>
    </row>
    <row r="717" spans="1:40" x14ac:dyDescent="0.25">
      <c r="A717" s="23" t="s">
        <v>139</v>
      </c>
      <c r="B717">
        <v>50</v>
      </c>
      <c r="D717">
        <v>2.5</v>
      </c>
      <c r="G717" s="25">
        <v>4589</v>
      </c>
      <c r="H717" s="25">
        <v>3602</v>
      </c>
      <c r="I717" s="25">
        <v>16931</v>
      </c>
      <c r="J717" s="25">
        <v>6773</v>
      </c>
      <c r="K717" s="25">
        <v>1921</v>
      </c>
      <c r="M717" s="25">
        <v>8078</v>
      </c>
      <c r="S717" s="25">
        <v>26507</v>
      </c>
      <c r="T717" s="25">
        <v>11221</v>
      </c>
      <c r="AN717">
        <v>0.191</v>
      </c>
    </row>
    <row r="718" spans="1:40" x14ac:dyDescent="0.25">
      <c r="A718" s="23" t="s">
        <v>139</v>
      </c>
      <c r="B718">
        <v>50</v>
      </c>
      <c r="D718">
        <v>3.2</v>
      </c>
      <c r="G718" s="25">
        <v>5727</v>
      </c>
      <c r="H718" s="25">
        <v>4495</v>
      </c>
      <c r="I718" s="25">
        <v>20387</v>
      </c>
      <c r="J718" s="25">
        <v>8155</v>
      </c>
      <c r="K718" s="25">
        <v>1887</v>
      </c>
      <c r="M718" s="25">
        <v>9895</v>
      </c>
      <c r="S718" s="25">
        <v>32211</v>
      </c>
      <c r="T718" s="25">
        <v>13891</v>
      </c>
      <c r="AN718">
        <v>0.189</v>
      </c>
    </row>
    <row r="719" spans="1:40" x14ac:dyDescent="0.25">
      <c r="A719" s="23" t="s">
        <v>139</v>
      </c>
      <c r="B719">
        <v>60</v>
      </c>
      <c r="D719">
        <v>1.6</v>
      </c>
      <c r="G719">
        <v>3.67</v>
      </c>
      <c r="H719">
        <v>2.88</v>
      </c>
      <c r="I719">
        <v>20.67</v>
      </c>
      <c r="J719">
        <v>6.89</v>
      </c>
      <c r="K719">
        <v>2.37</v>
      </c>
      <c r="M719">
        <v>7.99</v>
      </c>
      <c r="S719">
        <v>31.78</v>
      </c>
      <c r="T719">
        <v>10.9</v>
      </c>
      <c r="AN719">
        <v>0.23</v>
      </c>
    </row>
    <row r="720" spans="1:40" x14ac:dyDescent="0.25">
      <c r="A720" s="23" t="s">
        <v>139</v>
      </c>
      <c r="B720">
        <v>60</v>
      </c>
      <c r="D720">
        <v>2</v>
      </c>
      <c r="G720">
        <v>4.54</v>
      </c>
      <c r="H720">
        <v>3.56</v>
      </c>
      <c r="I720">
        <v>25.13</v>
      </c>
      <c r="J720">
        <v>8.3800000000000008</v>
      </c>
      <c r="K720">
        <v>2.35</v>
      </c>
      <c r="M720">
        <v>9.7899999999999991</v>
      </c>
      <c r="S720">
        <v>38.840000000000003</v>
      </c>
      <c r="T720">
        <v>13.43</v>
      </c>
      <c r="AN720">
        <v>0.23</v>
      </c>
    </row>
    <row r="721" spans="1:40" x14ac:dyDescent="0.25">
      <c r="A721" s="23" t="s">
        <v>139</v>
      </c>
      <c r="B721">
        <v>60</v>
      </c>
      <c r="D721">
        <v>2.5</v>
      </c>
      <c r="G721">
        <v>5.59</v>
      </c>
      <c r="H721">
        <v>4.3899999999999997</v>
      </c>
      <c r="I721">
        <v>30.32</v>
      </c>
      <c r="J721">
        <v>10.11</v>
      </c>
      <c r="K721">
        <v>2.33</v>
      </c>
      <c r="M721">
        <v>11.93</v>
      </c>
      <c r="S721">
        <v>47.18</v>
      </c>
      <c r="T721">
        <v>16.47</v>
      </c>
      <c r="AN721">
        <v>0.23</v>
      </c>
    </row>
    <row r="722" spans="1:40" x14ac:dyDescent="0.25">
      <c r="A722" s="23" t="s">
        <v>139</v>
      </c>
      <c r="B722">
        <v>60</v>
      </c>
      <c r="D722">
        <v>3.2</v>
      </c>
      <c r="G722">
        <v>7.01</v>
      </c>
      <c r="H722">
        <v>5.5</v>
      </c>
      <c r="I722">
        <v>36.909999999999997</v>
      </c>
      <c r="J722">
        <v>12.3</v>
      </c>
      <c r="K722">
        <v>2.2999999999999998</v>
      </c>
      <c r="M722">
        <v>14.74</v>
      </c>
      <c r="S722">
        <v>57.92</v>
      </c>
      <c r="T722">
        <v>20.52</v>
      </c>
      <c r="AN722">
        <v>0.23</v>
      </c>
    </row>
    <row r="723" spans="1:40" x14ac:dyDescent="0.25">
      <c r="A723" s="23" t="s">
        <v>139</v>
      </c>
      <c r="B723">
        <v>60</v>
      </c>
      <c r="D723">
        <v>4</v>
      </c>
      <c r="G723">
        <v>8.5500000000000007</v>
      </c>
      <c r="H723">
        <v>6.71</v>
      </c>
      <c r="I723">
        <v>43.52</v>
      </c>
      <c r="J723">
        <v>14.51</v>
      </c>
      <c r="K723">
        <v>2.2599999999999998</v>
      </c>
      <c r="M723">
        <v>17.66</v>
      </c>
      <c r="S723">
        <v>68.87</v>
      </c>
      <c r="T723">
        <v>24.84</v>
      </c>
      <c r="AN723">
        <v>0.23</v>
      </c>
    </row>
    <row r="724" spans="1:40" x14ac:dyDescent="0.25">
      <c r="A724" s="23" t="s">
        <v>139</v>
      </c>
      <c r="B724">
        <v>80</v>
      </c>
      <c r="D724">
        <v>2</v>
      </c>
      <c r="G724">
        <v>6.14</v>
      </c>
      <c r="H724">
        <v>4.82</v>
      </c>
      <c r="I724">
        <v>61.67</v>
      </c>
      <c r="J724">
        <v>15.42</v>
      </c>
      <c r="K724">
        <v>3.17</v>
      </c>
      <c r="M724">
        <v>17.850000000000001</v>
      </c>
      <c r="S724">
        <v>94.67</v>
      </c>
      <c r="T724">
        <v>24.31</v>
      </c>
      <c r="AN724">
        <v>0.31</v>
      </c>
    </row>
    <row r="725" spans="1:40" x14ac:dyDescent="0.25">
      <c r="A725" s="23" t="s">
        <v>139</v>
      </c>
      <c r="B725">
        <v>80</v>
      </c>
      <c r="D725">
        <v>2.5</v>
      </c>
      <c r="G725">
        <v>7.59</v>
      </c>
      <c r="H725">
        <v>5.96</v>
      </c>
      <c r="I725">
        <v>75.099999999999994</v>
      </c>
      <c r="J725">
        <v>18.78</v>
      </c>
      <c r="K725">
        <v>3.15</v>
      </c>
      <c r="M725">
        <v>21.9</v>
      </c>
      <c r="S725">
        <v>115.9</v>
      </c>
      <c r="T725">
        <v>29.97</v>
      </c>
      <c r="AN725">
        <v>0.31</v>
      </c>
    </row>
    <row r="726" spans="1:40" x14ac:dyDescent="0.25">
      <c r="A726" s="23" t="s">
        <v>139</v>
      </c>
      <c r="B726">
        <v>80</v>
      </c>
      <c r="D726">
        <v>3.2</v>
      </c>
      <c r="G726">
        <v>9.57</v>
      </c>
      <c r="H726">
        <v>7.51</v>
      </c>
      <c r="I726">
        <v>92.65</v>
      </c>
      <c r="J726">
        <v>23.16</v>
      </c>
      <c r="K726">
        <v>3.11</v>
      </c>
      <c r="M726">
        <v>27.3</v>
      </c>
      <c r="S726">
        <v>143.97999999999999</v>
      </c>
      <c r="T726">
        <v>37.619999999999997</v>
      </c>
      <c r="AN726">
        <v>0.31</v>
      </c>
    </row>
    <row r="727" spans="1:40" x14ac:dyDescent="0.25">
      <c r="A727" s="23" t="s">
        <v>139</v>
      </c>
      <c r="B727">
        <v>80</v>
      </c>
      <c r="D727">
        <v>4</v>
      </c>
      <c r="G727">
        <v>11.75</v>
      </c>
      <c r="H727">
        <v>9.2200000000000006</v>
      </c>
      <c r="I727">
        <v>110.96</v>
      </c>
      <c r="J727">
        <v>27.74</v>
      </c>
      <c r="K727">
        <v>3.07</v>
      </c>
      <c r="M727">
        <v>33.090000000000003</v>
      </c>
      <c r="S727">
        <v>173.72</v>
      </c>
      <c r="T727">
        <v>45.96</v>
      </c>
      <c r="AN727">
        <v>0.31</v>
      </c>
    </row>
    <row r="728" spans="1:40" x14ac:dyDescent="0.25">
      <c r="A728" s="23" t="s">
        <v>139</v>
      </c>
      <c r="B728">
        <v>80</v>
      </c>
      <c r="D728">
        <v>4.76</v>
      </c>
      <c r="G728">
        <v>13.74</v>
      </c>
      <c r="H728">
        <v>10.79</v>
      </c>
      <c r="I728">
        <v>126.7</v>
      </c>
      <c r="J728">
        <v>31.67</v>
      </c>
      <c r="K728">
        <v>3.04</v>
      </c>
      <c r="M728">
        <v>38.22</v>
      </c>
      <c r="S728">
        <v>199.62</v>
      </c>
      <c r="T728">
        <v>53.48</v>
      </c>
      <c r="AN728">
        <v>0.3</v>
      </c>
    </row>
    <row r="729" spans="1:40" x14ac:dyDescent="0.25">
      <c r="A729" s="23" t="s">
        <v>139</v>
      </c>
      <c r="B729">
        <v>90</v>
      </c>
      <c r="D729">
        <v>2.5</v>
      </c>
      <c r="G729">
        <v>8.59</v>
      </c>
      <c r="H729">
        <v>6.74</v>
      </c>
      <c r="I729">
        <v>108.5</v>
      </c>
      <c r="J729">
        <v>24.11</v>
      </c>
      <c r="K729">
        <v>3.55</v>
      </c>
      <c r="M729">
        <v>28.01</v>
      </c>
      <c r="S729">
        <v>166.95</v>
      </c>
      <c r="T729">
        <v>38.22</v>
      </c>
      <c r="AN729">
        <v>0.35</v>
      </c>
    </row>
    <row r="730" spans="1:40" x14ac:dyDescent="0.25">
      <c r="A730" s="23" t="s">
        <v>139</v>
      </c>
      <c r="B730">
        <v>90</v>
      </c>
      <c r="D730">
        <v>3.2</v>
      </c>
      <c r="G730">
        <v>10.85</v>
      </c>
      <c r="H730">
        <v>8.51</v>
      </c>
      <c r="I730">
        <v>134.41999999999999</v>
      </c>
      <c r="J730">
        <v>29.87</v>
      </c>
      <c r="K730">
        <v>3.52</v>
      </c>
      <c r="M730">
        <v>35.020000000000003</v>
      </c>
      <c r="S730">
        <v>208.17</v>
      </c>
      <c r="T730">
        <v>48.09</v>
      </c>
      <c r="AN730">
        <v>0.35</v>
      </c>
    </row>
    <row r="731" spans="1:40" x14ac:dyDescent="0.25">
      <c r="A731" s="23" t="s">
        <v>139</v>
      </c>
      <c r="B731">
        <v>90</v>
      </c>
      <c r="D731">
        <v>4</v>
      </c>
      <c r="G731">
        <v>13.35</v>
      </c>
      <c r="H731">
        <v>10.48</v>
      </c>
      <c r="I731">
        <v>161.80000000000001</v>
      </c>
      <c r="J731">
        <v>35.96</v>
      </c>
      <c r="K731">
        <v>3.48</v>
      </c>
      <c r="M731">
        <v>42.6</v>
      </c>
      <c r="S731">
        <v>252.3</v>
      </c>
      <c r="T731">
        <v>58.92</v>
      </c>
      <c r="AN731">
        <v>0.35</v>
      </c>
    </row>
    <row r="732" spans="1:40" x14ac:dyDescent="0.25">
      <c r="A732" s="23" t="s">
        <v>139</v>
      </c>
      <c r="B732">
        <v>90</v>
      </c>
      <c r="D732">
        <v>4.76</v>
      </c>
      <c r="G732">
        <v>15.65</v>
      </c>
      <c r="H732">
        <v>12.28</v>
      </c>
      <c r="I732">
        <v>185.67</v>
      </c>
      <c r="J732">
        <v>41.26</v>
      </c>
      <c r="K732">
        <v>3.44</v>
      </c>
      <c r="M732">
        <v>49.39</v>
      </c>
      <c r="S732">
        <v>291.27</v>
      </c>
      <c r="T732">
        <v>68.75</v>
      </c>
      <c r="AN732">
        <v>0.34</v>
      </c>
    </row>
    <row r="733" spans="1:40" x14ac:dyDescent="0.25">
      <c r="A733" s="23" t="s">
        <v>139</v>
      </c>
      <c r="B733">
        <v>90</v>
      </c>
      <c r="D733">
        <v>6.35</v>
      </c>
      <c r="G733">
        <v>20.21</v>
      </c>
      <c r="H733">
        <v>15.86</v>
      </c>
      <c r="I733">
        <v>229.17</v>
      </c>
      <c r="J733">
        <v>50.93</v>
      </c>
      <c r="K733">
        <v>3.37</v>
      </c>
      <c r="M733">
        <v>62.3</v>
      </c>
      <c r="S733">
        <v>363.45</v>
      </c>
      <c r="T733">
        <v>87.88</v>
      </c>
      <c r="AN733">
        <v>0.34</v>
      </c>
    </row>
    <row r="734" spans="1:40" x14ac:dyDescent="0.25">
      <c r="A734" s="23" t="s">
        <v>139</v>
      </c>
      <c r="B734">
        <v>100</v>
      </c>
      <c r="D734">
        <v>3.2</v>
      </c>
      <c r="G734">
        <v>12.13</v>
      </c>
      <c r="H734">
        <v>9.52</v>
      </c>
      <c r="I734">
        <v>187.17</v>
      </c>
      <c r="J734">
        <v>37.43</v>
      </c>
      <c r="K734">
        <v>3.93</v>
      </c>
      <c r="M734">
        <v>43.7</v>
      </c>
      <c r="S734">
        <v>289.02999999999997</v>
      </c>
      <c r="T734">
        <v>59.84</v>
      </c>
      <c r="AN734">
        <v>0.39</v>
      </c>
    </row>
    <row r="735" spans="1:40" x14ac:dyDescent="0.25">
      <c r="A735" s="23" t="s">
        <v>139</v>
      </c>
      <c r="B735">
        <v>100</v>
      </c>
      <c r="D735">
        <v>4</v>
      </c>
      <c r="G735">
        <v>14.95</v>
      </c>
      <c r="H735">
        <v>11.73</v>
      </c>
      <c r="I735">
        <v>226.2</v>
      </c>
      <c r="J735">
        <v>45.24</v>
      </c>
      <c r="K735">
        <v>3.89</v>
      </c>
      <c r="M735">
        <v>53.31</v>
      </c>
      <c r="S735">
        <v>351.52</v>
      </c>
      <c r="T735">
        <v>73.48</v>
      </c>
      <c r="AN735">
        <v>0.39</v>
      </c>
    </row>
    <row r="736" spans="1:40" x14ac:dyDescent="0.25">
      <c r="A736" s="23" t="s">
        <v>139</v>
      </c>
      <c r="B736">
        <v>100</v>
      </c>
      <c r="D736">
        <v>4.76</v>
      </c>
      <c r="G736">
        <v>17.55</v>
      </c>
      <c r="H736">
        <v>13.78</v>
      </c>
      <c r="I736">
        <v>260.58</v>
      </c>
      <c r="J736">
        <v>52.12</v>
      </c>
      <c r="K736">
        <v>3.85</v>
      </c>
      <c r="M736">
        <v>61.98</v>
      </c>
      <c r="S736">
        <v>407.25</v>
      </c>
      <c r="T736">
        <v>85.94</v>
      </c>
      <c r="AN736">
        <v>0.38</v>
      </c>
    </row>
    <row r="737" spans="1:40" x14ac:dyDescent="0.25">
      <c r="A737" s="23" t="s">
        <v>139</v>
      </c>
      <c r="B737">
        <v>100</v>
      </c>
      <c r="D737">
        <v>6.35</v>
      </c>
      <c r="G737">
        <v>22.75</v>
      </c>
      <c r="H737">
        <v>17.86</v>
      </c>
      <c r="I737">
        <v>324.36</v>
      </c>
      <c r="J737">
        <v>64.87</v>
      </c>
      <c r="K737">
        <v>3.78</v>
      </c>
      <c r="M737">
        <v>78.67</v>
      </c>
      <c r="S737">
        <v>512.33000000000004</v>
      </c>
      <c r="T737">
        <v>110.39</v>
      </c>
      <c r="AN737">
        <v>0.38</v>
      </c>
    </row>
    <row r="738" spans="1:40" x14ac:dyDescent="0.25">
      <c r="A738" s="23" t="s">
        <v>139</v>
      </c>
      <c r="B738">
        <v>110</v>
      </c>
      <c r="D738">
        <v>3.2</v>
      </c>
      <c r="G738">
        <v>13.41</v>
      </c>
      <c r="H738">
        <v>10.52</v>
      </c>
      <c r="I738">
        <v>252.17</v>
      </c>
      <c r="J738">
        <v>45.85</v>
      </c>
      <c r="K738">
        <v>4.34</v>
      </c>
      <c r="M738">
        <v>53.34</v>
      </c>
      <c r="S738">
        <v>388.47</v>
      </c>
      <c r="T738">
        <v>72.87</v>
      </c>
      <c r="AN738">
        <v>0.43</v>
      </c>
    </row>
    <row r="739" spans="1:40" x14ac:dyDescent="0.25">
      <c r="A739" s="23" t="s">
        <v>139</v>
      </c>
      <c r="B739">
        <v>110</v>
      </c>
      <c r="D739">
        <v>4</v>
      </c>
      <c r="G739">
        <v>16.55</v>
      </c>
      <c r="H739">
        <v>12.99</v>
      </c>
      <c r="I739">
        <v>305.74</v>
      </c>
      <c r="J739">
        <v>55.59</v>
      </c>
      <c r="K739">
        <v>4.3</v>
      </c>
      <c r="M739">
        <v>65.23</v>
      </c>
      <c r="S739">
        <v>473.79</v>
      </c>
      <c r="T739">
        <v>89.64</v>
      </c>
      <c r="AN739">
        <v>0.43</v>
      </c>
    </row>
    <row r="740" spans="1:40" x14ac:dyDescent="0.25">
      <c r="A740" s="23" t="s">
        <v>139</v>
      </c>
      <c r="B740">
        <v>110</v>
      </c>
      <c r="D740">
        <v>4.76</v>
      </c>
      <c r="G740">
        <v>19.45</v>
      </c>
      <c r="H740">
        <v>15.27</v>
      </c>
      <c r="I740">
        <v>353.32</v>
      </c>
      <c r="J740">
        <v>64.239999999999995</v>
      </c>
      <c r="K740">
        <v>4.26</v>
      </c>
      <c r="M740">
        <v>76</v>
      </c>
      <c r="S740">
        <v>550.44000000000005</v>
      </c>
      <c r="T740">
        <v>105.02</v>
      </c>
      <c r="AN740">
        <v>0.42</v>
      </c>
    </row>
    <row r="741" spans="1:40" x14ac:dyDescent="0.25">
      <c r="A741" s="23" t="s">
        <v>139</v>
      </c>
      <c r="B741">
        <v>110</v>
      </c>
      <c r="D741">
        <v>6.35</v>
      </c>
      <c r="G741">
        <v>25.29</v>
      </c>
      <c r="H741">
        <v>19.850000000000001</v>
      </c>
      <c r="I741">
        <v>442.81</v>
      </c>
      <c r="J741">
        <v>80.510000000000005</v>
      </c>
      <c r="K741">
        <v>4.18</v>
      </c>
      <c r="M741">
        <v>96.94</v>
      </c>
      <c r="S741">
        <v>696.88</v>
      </c>
      <c r="T741">
        <v>135.44999999999999</v>
      </c>
      <c r="AN741">
        <v>0.42</v>
      </c>
    </row>
    <row r="742" spans="1:40" x14ac:dyDescent="0.25">
      <c r="A742" s="23" t="s">
        <v>139</v>
      </c>
      <c r="B742">
        <v>120</v>
      </c>
      <c r="D742">
        <v>4</v>
      </c>
      <c r="G742">
        <v>18.149999999999999</v>
      </c>
      <c r="H742">
        <v>14.25</v>
      </c>
      <c r="I742">
        <v>402.03</v>
      </c>
      <c r="J742">
        <v>67</v>
      </c>
      <c r="K742">
        <v>4.71</v>
      </c>
      <c r="M742">
        <v>78.34</v>
      </c>
      <c r="S742">
        <v>621.49</v>
      </c>
      <c r="T742">
        <v>107.4</v>
      </c>
      <c r="AN742">
        <v>0.47</v>
      </c>
    </row>
    <row r="743" spans="1:40" x14ac:dyDescent="0.25">
      <c r="A743" s="23" t="s">
        <v>139</v>
      </c>
      <c r="B743">
        <v>120</v>
      </c>
      <c r="D743">
        <v>5</v>
      </c>
      <c r="G743">
        <v>22.36</v>
      </c>
      <c r="H743">
        <v>17.55</v>
      </c>
      <c r="I743">
        <v>485.14</v>
      </c>
      <c r="J743">
        <v>80.86</v>
      </c>
      <c r="K743">
        <v>4.66</v>
      </c>
      <c r="M743">
        <v>95.48</v>
      </c>
      <c r="S743">
        <v>754.89</v>
      </c>
      <c r="T743">
        <v>131.77000000000001</v>
      </c>
      <c r="AN743">
        <v>0.46</v>
      </c>
    </row>
    <row r="744" spans="1:40" x14ac:dyDescent="0.25">
      <c r="A744" s="23" t="s">
        <v>139</v>
      </c>
      <c r="B744">
        <v>120</v>
      </c>
      <c r="D744">
        <v>6</v>
      </c>
      <c r="G744">
        <v>26.43</v>
      </c>
      <c r="H744">
        <v>20.75</v>
      </c>
      <c r="I744">
        <v>561.74</v>
      </c>
      <c r="J744">
        <v>93.62</v>
      </c>
      <c r="K744">
        <v>4.6100000000000003</v>
      </c>
      <c r="M744">
        <v>111.67</v>
      </c>
      <c r="S744">
        <v>879.44</v>
      </c>
      <c r="T744">
        <v>155.12</v>
      </c>
      <c r="AN744">
        <v>0.46</v>
      </c>
    </row>
    <row r="745" spans="1:40" x14ac:dyDescent="0.25">
      <c r="A745" s="23" t="s">
        <v>139</v>
      </c>
      <c r="B745">
        <v>120</v>
      </c>
      <c r="D745">
        <v>8</v>
      </c>
      <c r="G745">
        <v>34.19</v>
      </c>
      <c r="H745">
        <v>26.84</v>
      </c>
      <c r="I745">
        <v>696.31</v>
      </c>
      <c r="J745">
        <v>116.05</v>
      </c>
      <c r="K745">
        <v>4.51</v>
      </c>
      <c r="M745">
        <v>141.28</v>
      </c>
      <c r="S745">
        <v>1101.8900000000001</v>
      </c>
      <c r="T745">
        <v>198.73</v>
      </c>
      <c r="AN745">
        <v>0.45</v>
      </c>
    </row>
    <row r="746" spans="1:40" x14ac:dyDescent="0.25">
      <c r="A746" s="23" t="s">
        <v>139</v>
      </c>
      <c r="B746">
        <v>120</v>
      </c>
      <c r="D746">
        <v>10</v>
      </c>
      <c r="G746">
        <v>41.42</v>
      </c>
      <c r="H746">
        <v>32.520000000000003</v>
      </c>
      <c r="I746">
        <v>807.47</v>
      </c>
      <c r="J746">
        <v>134.58000000000001</v>
      </c>
      <c r="K746">
        <v>4.42</v>
      </c>
      <c r="M746">
        <v>167.31</v>
      </c>
      <c r="S746">
        <v>1288.8399999999999</v>
      </c>
      <c r="T746">
        <v>238.14</v>
      </c>
      <c r="AN746">
        <v>0.45</v>
      </c>
    </row>
    <row r="747" spans="1:40" x14ac:dyDescent="0.25">
      <c r="A747" s="23" t="s">
        <v>139</v>
      </c>
      <c r="B747">
        <v>120</v>
      </c>
      <c r="D747">
        <v>12</v>
      </c>
      <c r="G747">
        <v>48.13</v>
      </c>
      <c r="H747">
        <v>37.78</v>
      </c>
      <c r="I747">
        <v>896.91</v>
      </c>
      <c r="J747">
        <v>149.49</v>
      </c>
      <c r="K747">
        <v>4.32</v>
      </c>
      <c r="M747">
        <v>189.89</v>
      </c>
      <c r="S747">
        <v>1440.4</v>
      </c>
      <c r="T747">
        <v>273.26</v>
      </c>
      <c r="AN747">
        <v>0.44</v>
      </c>
    </row>
    <row r="748" spans="1:40" x14ac:dyDescent="0.25">
      <c r="A748" s="23" t="s">
        <v>139</v>
      </c>
      <c r="B748">
        <v>140</v>
      </c>
      <c r="D748">
        <v>4</v>
      </c>
      <c r="G748">
        <v>21.35</v>
      </c>
      <c r="H748">
        <v>16.760000000000002</v>
      </c>
      <c r="I748">
        <v>651.26</v>
      </c>
      <c r="J748">
        <v>93.04</v>
      </c>
      <c r="K748">
        <v>5.52</v>
      </c>
      <c r="M748">
        <v>108.17</v>
      </c>
      <c r="S748">
        <v>1002.82</v>
      </c>
      <c r="T748">
        <v>147.72</v>
      </c>
      <c r="AN748">
        <v>0.55000000000000004</v>
      </c>
    </row>
    <row r="749" spans="1:40" x14ac:dyDescent="0.25">
      <c r="A749" s="23" t="s">
        <v>139</v>
      </c>
      <c r="B749">
        <v>140</v>
      </c>
      <c r="D749">
        <v>5</v>
      </c>
      <c r="G749">
        <v>26.36</v>
      </c>
      <c r="H749">
        <v>20.69</v>
      </c>
      <c r="I749">
        <v>790.05</v>
      </c>
      <c r="J749">
        <v>112.86</v>
      </c>
      <c r="K749">
        <v>5.48</v>
      </c>
      <c r="M749">
        <v>132.33000000000001</v>
      </c>
      <c r="S749">
        <v>1223.68</v>
      </c>
      <c r="T749">
        <v>181.77</v>
      </c>
      <c r="AN749">
        <v>0.54</v>
      </c>
    </row>
    <row r="750" spans="1:40" x14ac:dyDescent="0.25">
      <c r="A750" s="23" t="s">
        <v>139</v>
      </c>
      <c r="B750">
        <v>140</v>
      </c>
      <c r="D750">
        <v>6</v>
      </c>
      <c r="G750">
        <v>31.23</v>
      </c>
      <c r="H750">
        <v>24.52</v>
      </c>
      <c r="I750">
        <v>919.78</v>
      </c>
      <c r="J750">
        <v>131.4</v>
      </c>
      <c r="K750">
        <v>5.43</v>
      </c>
      <c r="M750">
        <v>155.38</v>
      </c>
      <c r="S750">
        <v>1432.5</v>
      </c>
      <c r="T750">
        <v>214.64</v>
      </c>
      <c r="AN750">
        <v>0.54</v>
      </c>
    </row>
    <row r="751" spans="1:40" x14ac:dyDescent="0.25">
      <c r="A751" s="23" t="s">
        <v>139</v>
      </c>
      <c r="B751">
        <v>140</v>
      </c>
      <c r="D751">
        <v>8</v>
      </c>
      <c r="G751">
        <v>40.590000000000003</v>
      </c>
      <c r="H751">
        <v>31.86</v>
      </c>
      <c r="I751">
        <v>1153.05</v>
      </c>
      <c r="J751">
        <v>164.72</v>
      </c>
      <c r="K751">
        <v>5.33</v>
      </c>
      <c r="M751">
        <v>198.19</v>
      </c>
      <c r="S751">
        <v>1813.95</v>
      </c>
      <c r="T751">
        <v>276.81</v>
      </c>
      <c r="AN751">
        <v>0.53</v>
      </c>
    </row>
    <row r="752" spans="1:40" x14ac:dyDescent="0.25">
      <c r="A752" s="23" t="s">
        <v>139</v>
      </c>
      <c r="B752">
        <v>140</v>
      </c>
      <c r="D752">
        <v>10</v>
      </c>
      <c r="G752">
        <v>49.42</v>
      </c>
      <c r="H752">
        <v>38.799999999999997</v>
      </c>
      <c r="I752">
        <v>1353.13</v>
      </c>
      <c r="J752">
        <v>193.3</v>
      </c>
      <c r="K752">
        <v>5.23</v>
      </c>
      <c r="M752">
        <v>236.73</v>
      </c>
      <c r="S752">
        <v>2147.06</v>
      </c>
      <c r="T752">
        <v>334.14</v>
      </c>
      <c r="AN752">
        <v>0.53</v>
      </c>
    </row>
    <row r="753" spans="1:40" x14ac:dyDescent="0.25">
      <c r="A753" s="23" t="s">
        <v>139</v>
      </c>
      <c r="B753">
        <v>140</v>
      </c>
      <c r="D753">
        <v>12</v>
      </c>
      <c r="G753">
        <v>57.73</v>
      </c>
      <c r="H753">
        <v>45.32</v>
      </c>
      <c r="I753">
        <v>1522.01</v>
      </c>
      <c r="J753">
        <v>217.43</v>
      </c>
      <c r="K753">
        <v>5.13</v>
      </c>
      <c r="M753">
        <v>271.13</v>
      </c>
      <c r="S753">
        <v>2431.84</v>
      </c>
      <c r="T753">
        <v>386.54</v>
      </c>
      <c r="AN753">
        <v>0.52</v>
      </c>
    </row>
    <row r="754" spans="1:40" x14ac:dyDescent="0.25">
      <c r="A754" s="23" t="s">
        <v>139</v>
      </c>
      <c r="B754">
        <v>150</v>
      </c>
      <c r="D754">
        <v>4</v>
      </c>
      <c r="G754">
        <v>22.95</v>
      </c>
      <c r="H754">
        <v>18.010000000000002</v>
      </c>
      <c r="I754">
        <v>807.39</v>
      </c>
      <c r="J754">
        <v>107.65</v>
      </c>
      <c r="K754">
        <v>5.93</v>
      </c>
      <c r="M754">
        <v>124.88</v>
      </c>
      <c r="S754">
        <v>1241.25</v>
      </c>
      <c r="T754">
        <v>170.28</v>
      </c>
      <c r="AN754">
        <v>0.59</v>
      </c>
    </row>
    <row r="755" spans="1:40" x14ac:dyDescent="0.25">
      <c r="A755" s="23" t="s">
        <v>139</v>
      </c>
      <c r="B755">
        <v>150</v>
      </c>
      <c r="D755">
        <v>5</v>
      </c>
      <c r="G755">
        <v>28.36</v>
      </c>
      <c r="H755">
        <v>22.26</v>
      </c>
      <c r="I755">
        <v>981.52</v>
      </c>
      <c r="J755">
        <v>130.87</v>
      </c>
      <c r="K755">
        <v>5.88</v>
      </c>
      <c r="M755">
        <v>153.01</v>
      </c>
      <c r="S755">
        <v>1517.32</v>
      </c>
      <c r="T755">
        <v>209.77</v>
      </c>
      <c r="AN755">
        <v>0.57999999999999996</v>
      </c>
    </row>
    <row r="756" spans="1:40" x14ac:dyDescent="0.25">
      <c r="A756" s="23" t="s">
        <v>139</v>
      </c>
      <c r="B756">
        <v>150</v>
      </c>
      <c r="D756">
        <v>6</v>
      </c>
      <c r="G756">
        <v>33.630000000000003</v>
      </c>
      <c r="H756">
        <v>26.4</v>
      </c>
      <c r="I756">
        <v>1145.1199999999999</v>
      </c>
      <c r="J756">
        <v>152.68</v>
      </c>
      <c r="K756">
        <v>5.84</v>
      </c>
      <c r="M756">
        <v>179.94</v>
      </c>
      <c r="S756">
        <v>1779.59</v>
      </c>
      <c r="T756">
        <v>248</v>
      </c>
      <c r="AN756">
        <v>0.57999999999999996</v>
      </c>
    </row>
    <row r="757" spans="1:40" x14ac:dyDescent="0.25">
      <c r="A757" s="23" t="s">
        <v>139</v>
      </c>
      <c r="B757">
        <v>150</v>
      </c>
      <c r="D757">
        <v>8</v>
      </c>
      <c r="G757">
        <v>43.79</v>
      </c>
      <c r="H757">
        <v>34.380000000000003</v>
      </c>
      <c r="I757">
        <v>1441.91</v>
      </c>
      <c r="J757">
        <v>192.26</v>
      </c>
      <c r="K757">
        <v>5.74</v>
      </c>
      <c r="M757">
        <v>230.24</v>
      </c>
      <c r="S757">
        <v>2262.62</v>
      </c>
      <c r="T757">
        <v>320.64999999999998</v>
      </c>
      <c r="AN757">
        <v>0.56999999999999995</v>
      </c>
    </row>
    <row r="758" spans="1:40" x14ac:dyDescent="0.25">
      <c r="A758" s="23" t="s">
        <v>139</v>
      </c>
      <c r="B758">
        <v>150</v>
      </c>
      <c r="D758">
        <v>10</v>
      </c>
      <c r="G758">
        <v>53.42</v>
      </c>
      <c r="H758">
        <v>41.94</v>
      </c>
      <c r="I758">
        <v>1699.97</v>
      </c>
      <c r="J758">
        <v>226.66</v>
      </c>
      <c r="K758">
        <v>5.64</v>
      </c>
      <c r="M758">
        <v>275.94</v>
      </c>
      <c r="S758">
        <v>2690.17</v>
      </c>
      <c r="T758">
        <v>388.14</v>
      </c>
      <c r="AN758">
        <v>0.56999999999999995</v>
      </c>
    </row>
    <row r="759" spans="1:40" x14ac:dyDescent="0.25">
      <c r="A759" s="23" t="s">
        <v>139</v>
      </c>
      <c r="B759">
        <v>150</v>
      </c>
      <c r="D759">
        <v>12</v>
      </c>
      <c r="G759">
        <v>62.53</v>
      </c>
      <c r="H759">
        <v>49.09</v>
      </c>
      <c r="I759">
        <v>1921.46</v>
      </c>
      <c r="J759">
        <v>256.2</v>
      </c>
      <c r="K759">
        <v>5.54</v>
      </c>
      <c r="M759">
        <v>317.16000000000003</v>
      </c>
      <c r="S759">
        <v>3062.22</v>
      </c>
      <c r="T759">
        <v>450.38</v>
      </c>
      <c r="AN759">
        <v>0.56000000000000005</v>
      </c>
    </row>
    <row r="760" spans="1:40" x14ac:dyDescent="0.25">
      <c r="A760" s="23" t="s">
        <v>139</v>
      </c>
      <c r="B760">
        <v>180</v>
      </c>
      <c r="D760">
        <v>5</v>
      </c>
      <c r="G760">
        <v>34.36</v>
      </c>
      <c r="H760">
        <v>26.97</v>
      </c>
      <c r="I760">
        <v>1735.93</v>
      </c>
      <c r="J760">
        <v>192.88</v>
      </c>
      <c r="K760">
        <v>7.11</v>
      </c>
      <c r="M760">
        <v>224.04</v>
      </c>
      <c r="S760">
        <v>2671.24</v>
      </c>
      <c r="T760">
        <v>305.77</v>
      </c>
      <c r="AN760">
        <v>0.7</v>
      </c>
    </row>
    <row r="761" spans="1:40" x14ac:dyDescent="0.25">
      <c r="A761" s="23" t="s">
        <v>139</v>
      </c>
      <c r="B761">
        <v>180</v>
      </c>
      <c r="D761">
        <v>6</v>
      </c>
      <c r="G761">
        <v>40.83</v>
      </c>
      <c r="H761">
        <v>32.049999999999997</v>
      </c>
      <c r="I761">
        <v>2035.27</v>
      </c>
      <c r="J761">
        <v>226.14</v>
      </c>
      <c r="K761">
        <v>7.06</v>
      </c>
      <c r="M761">
        <v>264.39999999999998</v>
      </c>
      <c r="S761">
        <v>3146.31</v>
      </c>
      <c r="T761">
        <v>362.48</v>
      </c>
      <c r="AN761">
        <v>0.7</v>
      </c>
    </row>
    <row r="762" spans="1:40" x14ac:dyDescent="0.25">
      <c r="A762" s="23" t="s">
        <v>139</v>
      </c>
      <c r="B762">
        <v>180</v>
      </c>
      <c r="D762">
        <v>8</v>
      </c>
      <c r="G762">
        <v>53.39</v>
      </c>
      <c r="H762">
        <v>41.91</v>
      </c>
      <c r="I762">
        <v>2588.88</v>
      </c>
      <c r="J762">
        <v>287.64999999999998</v>
      </c>
      <c r="K762">
        <v>6.96</v>
      </c>
      <c r="M762">
        <v>340.81</v>
      </c>
      <c r="S762">
        <v>4036.8</v>
      </c>
      <c r="T762">
        <v>471.37</v>
      </c>
      <c r="AN762">
        <v>0.69</v>
      </c>
    </row>
    <row r="763" spans="1:40" x14ac:dyDescent="0.25">
      <c r="A763" s="23" t="s">
        <v>139</v>
      </c>
      <c r="B763">
        <v>180</v>
      </c>
      <c r="D763">
        <v>10</v>
      </c>
      <c r="G763">
        <v>65.42</v>
      </c>
      <c r="H763">
        <v>51.36</v>
      </c>
      <c r="I763">
        <v>3084.59</v>
      </c>
      <c r="J763">
        <v>342.73</v>
      </c>
      <c r="K763">
        <v>6.87</v>
      </c>
      <c r="M763">
        <v>411.57</v>
      </c>
      <c r="S763">
        <v>4847.53</v>
      </c>
      <c r="T763">
        <v>574.14</v>
      </c>
      <c r="AN763">
        <v>0.69</v>
      </c>
    </row>
    <row r="764" spans="1:40" x14ac:dyDescent="0.25">
      <c r="A764" s="23" t="s">
        <v>139</v>
      </c>
      <c r="B764">
        <v>180</v>
      </c>
      <c r="D764">
        <v>12</v>
      </c>
      <c r="G764">
        <v>76.930000000000007</v>
      </c>
      <c r="H764">
        <v>60.39</v>
      </c>
      <c r="I764">
        <v>3525.06</v>
      </c>
      <c r="J764">
        <v>391.67</v>
      </c>
      <c r="K764">
        <v>6.77</v>
      </c>
      <c r="M764">
        <v>476.82</v>
      </c>
      <c r="S764">
        <v>5578.34</v>
      </c>
      <c r="T764">
        <v>670.7</v>
      </c>
      <c r="AN764">
        <v>0.68</v>
      </c>
    </row>
    <row r="765" spans="1:40" x14ac:dyDescent="0.25">
      <c r="A765" s="23" t="s">
        <v>139</v>
      </c>
      <c r="B765">
        <v>200</v>
      </c>
      <c r="D765">
        <v>5</v>
      </c>
      <c r="G765">
        <v>38.36</v>
      </c>
      <c r="H765">
        <v>30.11</v>
      </c>
      <c r="I765">
        <v>2408.88</v>
      </c>
      <c r="J765">
        <v>240.89</v>
      </c>
      <c r="K765">
        <v>7.92</v>
      </c>
      <c r="M765">
        <v>278.89999999999998</v>
      </c>
      <c r="S765">
        <v>3698.02</v>
      </c>
      <c r="T765">
        <v>379.77</v>
      </c>
      <c r="AN765">
        <v>0.78</v>
      </c>
    </row>
    <row r="766" spans="1:40" x14ac:dyDescent="0.25">
      <c r="A766" s="23" t="s">
        <v>139</v>
      </c>
      <c r="B766">
        <v>200</v>
      </c>
      <c r="D766">
        <v>6</v>
      </c>
      <c r="G766">
        <v>45.63</v>
      </c>
      <c r="H766">
        <v>35.82</v>
      </c>
      <c r="I766">
        <v>2831.13</v>
      </c>
      <c r="J766">
        <v>283.11</v>
      </c>
      <c r="K766">
        <v>7.88</v>
      </c>
      <c r="M766">
        <v>329.71</v>
      </c>
      <c r="S766">
        <v>4364.6499999999996</v>
      </c>
      <c r="T766">
        <v>450.8</v>
      </c>
      <c r="AN766">
        <v>0.78</v>
      </c>
    </row>
    <row r="767" spans="1:40" x14ac:dyDescent="0.25">
      <c r="A767" s="23" t="s">
        <v>139</v>
      </c>
      <c r="B767">
        <v>200</v>
      </c>
      <c r="D767">
        <v>8</v>
      </c>
      <c r="G767">
        <v>59.79</v>
      </c>
      <c r="H767">
        <v>46.94</v>
      </c>
      <c r="I767">
        <v>3619.16</v>
      </c>
      <c r="J767">
        <v>361.92</v>
      </c>
      <c r="K767">
        <v>7.78</v>
      </c>
      <c r="M767">
        <v>426.52</v>
      </c>
      <c r="S767">
        <v>5624.39</v>
      </c>
      <c r="T767">
        <v>587.85</v>
      </c>
      <c r="AN767">
        <v>0.77</v>
      </c>
    </row>
    <row r="768" spans="1:40" x14ac:dyDescent="0.25">
      <c r="A768" s="23" t="s">
        <v>139</v>
      </c>
      <c r="B768">
        <v>200</v>
      </c>
      <c r="D768">
        <v>10</v>
      </c>
      <c r="G768">
        <v>73.42</v>
      </c>
      <c r="H768">
        <v>57.64</v>
      </c>
      <c r="I768">
        <v>4334.41</v>
      </c>
      <c r="J768">
        <v>433.44</v>
      </c>
      <c r="K768">
        <v>7.68</v>
      </c>
      <c r="M768">
        <v>516.99</v>
      </c>
      <c r="S768">
        <v>6785.78</v>
      </c>
      <c r="T768">
        <v>718.14</v>
      </c>
      <c r="AN768">
        <v>0.77</v>
      </c>
    </row>
    <row r="769" spans="1:40" x14ac:dyDescent="0.25">
      <c r="A769" s="23" t="s">
        <v>139</v>
      </c>
      <c r="B769">
        <v>200</v>
      </c>
      <c r="D769">
        <v>12</v>
      </c>
      <c r="G769">
        <v>86.53</v>
      </c>
      <c r="H769">
        <v>67.930000000000007</v>
      </c>
      <c r="I769">
        <v>4979.83</v>
      </c>
      <c r="J769">
        <v>497.98</v>
      </c>
      <c r="K769">
        <v>7.59</v>
      </c>
      <c r="M769">
        <v>601.27</v>
      </c>
      <c r="S769">
        <v>7848.57</v>
      </c>
      <c r="T769">
        <v>841.58</v>
      </c>
      <c r="AN769">
        <v>0.76</v>
      </c>
    </row>
    <row r="770" spans="1:40" x14ac:dyDescent="0.25">
      <c r="A770" s="23" t="s">
        <v>139</v>
      </c>
      <c r="B770">
        <v>250</v>
      </c>
      <c r="D770">
        <v>6</v>
      </c>
      <c r="G770">
        <v>57.63</v>
      </c>
      <c r="H770">
        <v>45.24</v>
      </c>
      <c r="I770">
        <v>5669.3</v>
      </c>
      <c r="J770">
        <v>453.5</v>
      </c>
      <c r="K770">
        <v>9.92</v>
      </c>
      <c r="M770">
        <v>524.5</v>
      </c>
      <c r="S770">
        <v>8695.7000000000007</v>
      </c>
      <c r="T770">
        <v>713.6</v>
      </c>
      <c r="AN770">
        <v>0.98</v>
      </c>
    </row>
    <row r="771" spans="1:40" x14ac:dyDescent="0.25">
      <c r="A771" s="23" t="s">
        <v>139</v>
      </c>
      <c r="B771">
        <v>250</v>
      </c>
      <c r="D771">
        <v>8</v>
      </c>
      <c r="G771">
        <v>75.790000000000006</v>
      </c>
      <c r="H771">
        <v>59.5</v>
      </c>
      <c r="I771">
        <v>7311.3</v>
      </c>
      <c r="J771">
        <v>584.9</v>
      </c>
      <c r="K771">
        <v>9.82</v>
      </c>
      <c r="M771">
        <v>682.8</v>
      </c>
      <c r="S771">
        <v>11290.2</v>
      </c>
      <c r="T771">
        <v>935</v>
      </c>
      <c r="AN771">
        <v>0.97</v>
      </c>
    </row>
    <row r="772" spans="1:40" x14ac:dyDescent="0.25">
      <c r="A772" s="23" t="s">
        <v>139</v>
      </c>
      <c r="B772">
        <v>250</v>
      </c>
      <c r="D772">
        <v>10</v>
      </c>
      <c r="G772">
        <v>93.42</v>
      </c>
      <c r="H772">
        <v>73.34</v>
      </c>
      <c r="I772">
        <v>8835.7999999999993</v>
      </c>
      <c r="J772">
        <v>706.9</v>
      </c>
      <c r="K772">
        <v>9.73</v>
      </c>
      <c r="M772">
        <v>833</v>
      </c>
      <c r="S772">
        <v>13731.4</v>
      </c>
      <c r="T772">
        <v>1148.0999999999999</v>
      </c>
      <c r="AN772">
        <v>0.97</v>
      </c>
    </row>
    <row r="773" spans="1:40" x14ac:dyDescent="0.25">
      <c r="A773" s="23" t="s">
        <v>139</v>
      </c>
      <c r="B773">
        <v>250</v>
      </c>
      <c r="D773">
        <v>12</v>
      </c>
      <c r="G773">
        <v>110.53</v>
      </c>
      <c r="H773">
        <v>86.77</v>
      </c>
      <c r="I773">
        <v>10246.700000000001</v>
      </c>
      <c r="J773">
        <v>819.7</v>
      </c>
      <c r="K773">
        <v>9.6300000000000008</v>
      </c>
      <c r="M773">
        <v>975.4</v>
      </c>
      <c r="S773">
        <v>16019</v>
      </c>
      <c r="T773">
        <v>1352.8</v>
      </c>
      <c r="AN773">
        <v>0.96</v>
      </c>
    </row>
    <row r="774" spans="1:40" x14ac:dyDescent="0.25">
      <c r="A774" s="23" t="s">
        <v>139</v>
      </c>
      <c r="B774">
        <v>300</v>
      </c>
      <c r="D774">
        <v>6</v>
      </c>
      <c r="G774">
        <v>69.63</v>
      </c>
      <c r="H774">
        <v>54.66</v>
      </c>
      <c r="I774">
        <v>9959.5</v>
      </c>
      <c r="J774">
        <v>664</v>
      </c>
      <c r="K774">
        <v>11.96</v>
      </c>
      <c r="M774">
        <v>764.3</v>
      </c>
      <c r="S774">
        <v>15222.8</v>
      </c>
      <c r="T774">
        <v>1036.4000000000001</v>
      </c>
      <c r="AN774">
        <v>1.18</v>
      </c>
    </row>
    <row r="775" spans="1:40" x14ac:dyDescent="0.25">
      <c r="A775" s="23" t="s">
        <v>139</v>
      </c>
      <c r="B775">
        <v>300</v>
      </c>
      <c r="D775">
        <v>8</v>
      </c>
      <c r="G775">
        <v>91.79</v>
      </c>
      <c r="H775">
        <v>72.06</v>
      </c>
      <c r="I775">
        <v>12918.3</v>
      </c>
      <c r="J775">
        <v>861.2</v>
      </c>
      <c r="K775">
        <v>11.86</v>
      </c>
      <c r="M775">
        <v>999.1</v>
      </c>
      <c r="S775">
        <v>19859.900000000001</v>
      </c>
      <c r="T775">
        <v>1362.2</v>
      </c>
      <c r="AN775">
        <v>1.17</v>
      </c>
    </row>
    <row r="776" spans="1:40" x14ac:dyDescent="0.25">
      <c r="A776" s="23" t="s">
        <v>139</v>
      </c>
      <c r="B776">
        <v>300</v>
      </c>
      <c r="D776">
        <v>10</v>
      </c>
      <c r="G776">
        <v>113.42</v>
      </c>
      <c r="H776">
        <v>89.04</v>
      </c>
      <c r="I776">
        <v>15704.3</v>
      </c>
      <c r="J776">
        <v>1047</v>
      </c>
      <c r="K776">
        <v>11.77</v>
      </c>
      <c r="M776">
        <v>1224.0999999999999</v>
      </c>
      <c r="S776">
        <v>24277.1</v>
      </c>
      <c r="T776">
        <v>1678.1</v>
      </c>
      <c r="AN776">
        <v>1.17</v>
      </c>
    </row>
    <row r="777" spans="1:40" x14ac:dyDescent="0.25">
      <c r="A777" s="23" t="s">
        <v>139</v>
      </c>
      <c r="B777">
        <v>300</v>
      </c>
      <c r="D777">
        <v>12</v>
      </c>
      <c r="G777">
        <v>134.53</v>
      </c>
      <c r="H777">
        <v>105.61</v>
      </c>
      <c r="I777">
        <v>18322</v>
      </c>
      <c r="J777">
        <v>1221.5</v>
      </c>
      <c r="K777">
        <v>11.67</v>
      </c>
      <c r="M777">
        <v>1439.5</v>
      </c>
      <c r="S777">
        <v>28473.5</v>
      </c>
      <c r="T777">
        <v>1984</v>
      </c>
      <c r="AN777">
        <v>1.1599999999999999</v>
      </c>
    </row>
    <row r="778" spans="1:40" x14ac:dyDescent="0.25">
      <c r="A778" s="23" t="s">
        <v>139</v>
      </c>
      <c r="B778">
        <v>350</v>
      </c>
      <c r="D778">
        <v>6</v>
      </c>
      <c r="G778">
        <v>81.63</v>
      </c>
      <c r="H778">
        <v>64.08</v>
      </c>
      <c r="I778">
        <v>16001.9</v>
      </c>
      <c r="J778">
        <v>914.4</v>
      </c>
      <c r="K778">
        <v>14</v>
      </c>
      <c r="M778">
        <v>1049</v>
      </c>
      <c r="S778">
        <v>24395.8</v>
      </c>
      <c r="T778">
        <v>1419.2</v>
      </c>
      <c r="AN778">
        <v>1.38</v>
      </c>
    </row>
    <row r="779" spans="1:40" x14ac:dyDescent="0.25">
      <c r="A779" s="23" t="s">
        <v>139</v>
      </c>
      <c r="B779">
        <v>350</v>
      </c>
      <c r="D779">
        <v>8</v>
      </c>
      <c r="G779">
        <v>107.79</v>
      </c>
      <c r="H779">
        <v>84.62</v>
      </c>
      <c r="I779">
        <v>20840.2</v>
      </c>
      <c r="J779">
        <v>1190.9000000000001</v>
      </c>
      <c r="K779">
        <v>13.9</v>
      </c>
      <c r="M779">
        <v>1375.3</v>
      </c>
      <c r="S779">
        <v>31933.7</v>
      </c>
      <c r="T779">
        <v>1869.4</v>
      </c>
      <c r="AN779">
        <v>1.37</v>
      </c>
    </row>
    <row r="780" spans="1:40" x14ac:dyDescent="0.25">
      <c r="A780" s="23" t="s">
        <v>139</v>
      </c>
      <c r="B780">
        <v>350</v>
      </c>
      <c r="D780">
        <v>10</v>
      </c>
      <c r="G780">
        <v>133.41999999999999</v>
      </c>
      <c r="H780">
        <v>104.74</v>
      </c>
      <c r="I780">
        <v>25439.7</v>
      </c>
      <c r="J780">
        <v>1453.7</v>
      </c>
      <c r="K780">
        <v>13.81</v>
      </c>
      <c r="M780">
        <v>1690.1</v>
      </c>
      <c r="S780">
        <v>39172.699999999997</v>
      </c>
      <c r="T780">
        <v>2308.1</v>
      </c>
      <c r="AN780">
        <v>1.37</v>
      </c>
    </row>
    <row r="781" spans="1:40" x14ac:dyDescent="0.25">
      <c r="A781" s="23" t="s">
        <v>139</v>
      </c>
      <c r="B781">
        <v>350</v>
      </c>
      <c r="D781">
        <v>12</v>
      </c>
      <c r="G781">
        <v>158.53</v>
      </c>
      <c r="H781">
        <v>124.45</v>
      </c>
      <c r="I781">
        <v>29805.8</v>
      </c>
      <c r="J781">
        <v>1703.2</v>
      </c>
      <c r="K781">
        <v>13.71</v>
      </c>
      <c r="M781">
        <v>1993.6</v>
      </c>
      <c r="S781">
        <v>46112</v>
      </c>
      <c r="T781">
        <v>2735.2</v>
      </c>
      <c r="AN781">
        <v>1.36</v>
      </c>
    </row>
    <row r="782" spans="1:40" x14ac:dyDescent="0.25">
      <c r="A782" s="23" t="s">
        <v>139</v>
      </c>
      <c r="B782">
        <v>400</v>
      </c>
      <c r="D782">
        <v>8</v>
      </c>
      <c r="G782">
        <v>123.79</v>
      </c>
      <c r="H782">
        <v>97.18</v>
      </c>
      <c r="I782">
        <v>31476.9</v>
      </c>
      <c r="J782">
        <v>1573.8</v>
      </c>
      <c r="K782">
        <v>15.95</v>
      </c>
      <c r="M782">
        <v>1811.6</v>
      </c>
      <c r="S782">
        <v>48111.5</v>
      </c>
      <c r="T782">
        <v>2456.6</v>
      </c>
      <c r="AN782">
        <v>1.57</v>
      </c>
    </row>
    <row r="783" spans="1:40" x14ac:dyDescent="0.25">
      <c r="A783" s="23" t="s">
        <v>139</v>
      </c>
      <c r="B783">
        <v>400</v>
      </c>
      <c r="D783">
        <v>10</v>
      </c>
      <c r="G783">
        <v>153.41999999999999</v>
      </c>
      <c r="H783">
        <v>120.44</v>
      </c>
      <c r="I783">
        <v>38542.1</v>
      </c>
      <c r="J783">
        <v>1927.1</v>
      </c>
      <c r="K783">
        <v>15.85</v>
      </c>
      <c r="M783">
        <v>2231.1999999999998</v>
      </c>
      <c r="S783">
        <v>59168.4</v>
      </c>
      <c r="T783">
        <v>3038.1</v>
      </c>
      <c r="AN783">
        <v>1.57</v>
      </c>
    </row>
    <row r="784" spans="1:40" x14ac:dyDescent="0.25">
      <c r="A784" s="23" t="s">
        <v>139</v>
      </c>
      <c r="B784">
        <v>400</v>
      </c>
      <c r="D784">
        <v>12</v>
      </c>
      <c r="G784">
        <v>182.53</v>
      </c>
      <c r="H784">
        <v>143.29</v>
      </c>
      <c r="I784">
        <v>45298.1</v>
      </c>
      <c r="J784">
        <v>2264.9</v>
      </c>
      <c r="K784">
        <v>15.75</v>
      </c>
      <c r="M784">
        <v>2637.7</v>
      </c>
      <c r="S784">
        <v>69834.5</v>
      </c>
      <c r="T784">
        <v>3606.4</v>
      </c>
      <c r="AN784">
        <v>1.56</v>
      </c>
    </row>
    <row r="785" spans="1:40" x14ac:dyDescent="0.25">
      <c r="A785" s="23" t="s">
        <v>139</v>
      </c>
      <c r="B785">
        <v>400</v>
      </c>
      <c r="D785">
        <v>14</v>
      </c>
      <c r="G785">
        <v>211.11</v>
      </c>
      <c r="H785">
        <v>165.72</v>
      </c>
      <c r="I785">
        <v>51750.9</v>
      </c>
      <c r="J785">
        <v>2587.5</v>
      </c>
      <c r="K785">
        <v>15.66</v>
      </c>
      <c r="M785">
        <v>3031.3</v>
      </c>
      <c r="S785">
        <v>80108.7</v>
      </c>
      <c r="T785">
        <v>4161.3</v>
      </c>
      <c r="AN785">
        <v>1.55</v>
      </c>
    </row>
    <row r="786" spans="1:40" x14ac:dyDescent="0.25">
      <c r="A786" s="23" t="s">
        <v>141</v>
      </c>
      <c r="B786">
        <v>20</v>
      </c>
      <c r="C786">
        <v>10</v>
      </c>
      <c r="D786" s="26">
        <v>0.7</v>
      </c>
      <c r="G786" s="26">
        <v>0.38800000000000001</v>
      </c>
      <c r="H786">
        <v>0.30399999999999999</v>
      </c>
      <c r="I786" s="26">
        <v>0.193</v>
      </c>
      <c r="J786" s="26">
        <v>0.193</v>
      </c>
      <c r="K786" s="26">
        <v>0.70599999999999996</v>
      </c>
      <c r="M786" s="26">
        <v>0.24399999999999999</v>
      </c>
      <c r="N786" s="26">
        <v>6.5000000000000002E-2</v>
      </c>
      <c r="O786" s="26">
        <v>0.13</v>
      </c>
      <c r="P786" s="26">
        <v>0.40899999999999997</v>
      </c>
      <c r="R786" s="26">
        <v>0.15</v>
      </c>
      <c r="S786" s="26">
        <v>0.156</v>
      </c>
      <c r="T786" s="26">
        <v>0.25</v>
      </c>
      <c r="AN786" s="26">
        <v>5.8000000000000003E-2</v>
      </c>
    </row>
    <row r="787" spans="1:40" x14ac:dyDescent="0.25">
      <c r="A787" s="23" t="s">
        <v>141</v>
      </c>
      <c r="B787">
        <v>20</v>
      </c>
      <c r="C787">
        <v>10</v>
      </c>
      <c r="D787" s="26">
        <v>0.9</v>
      </c>
      <c r="G787" s="26">
        <v>0.48699999999999999</v>
      </c>
      <c r="H787">
        <v>0.38200000000000001</v>
      </c>
      <c r="I787" s="26">
        <v>0.23400000000000001</v>
      </c>
      <c r="J787" s="26">
        <v>0.23400000000000001</v>
      </c>
      <c r="K787" s="26">
        <v>0.69399999999999995</v>
      </c>
      <c r="M787" s="26">
        <v>0.30099999999999999</v>
      </c>
      <c r="N787" s="26">
        <v>7.8E-2</v>
      </c>
      <c r="O787" s="26">
        <v>0.156</v>
      </c>
      <c r="P787" s="26">
        <v>0.4</v>
      </c>
      <c r="R787" s="26">
        <v>0.184</v>
      </c>
      <c r="S787" s="26">
        <v>0.189</v>
      </c>
      <c r="T787" s="26">
        <v>0.31</v>
      </c>
      <c r="AN787" s="26">
        <v>5.7000000000000002E-2</v>
      </c>
    </row>
    <row r="788" spans="1:40" x14ac:dyDescent="0.25">
      <c r="A788" s="23" t="s">
        <v>141</v>
      </c>
      <c r="B788">
        <v>25</v>
      </c>
      <c r="C788">
        <v>15</v>
      </c>
      <c r="D788" s="26">
        <v>0.9</v>
      </c>
      <c r="G788" s="26">
        <v>0.66700000000000004</v>
      </c>
      <c r="H788">
        <v>0.52300000000000002</v>
      </c>
      <c r="I788" s="26">
        <v>0.54700000000000004</v>
      </c>
      <c r="J788" s="26">
        <v>0.438</v>
      </c>
      <c r="K788" s="26">
        <v>0.90600000000000003</v>
      </c>
      <c r="M788" s="26">
        <v>0.54200000000000004</v>
      </c>
      <c r="N788" s="26">
        <v>0.247</v>
      </c>
      <c r="O788" s="26">
        <v>0.32900000000000001</v>
      </c>
      <c r="P788" s="26">
        <v>0.60899999999999999</v>
      </c>
      <c r="R788" s="26">
        <v>0.38100000000000001</v>
      </c>
      <c r="S788" s="26">
        <v>0.53900000000000003</v>
      </c>
      <c r="T788" s="26">
        <v>0.60899999999999999</v>
      </c>
      <c r="AN788" s="26">
        <v>7.6999999999999999E-2</v>
      </c>
    </row>
    <row r="789" spans="1:40" x14ac:dyDescent="0.25">
      <c r="A789" s="23" t="s">
        <v>141</v>
      </c>
      <c r="B789">
        <v>25</v>
      </c>
      <c r="C789">
        <v>15</v>
      </c>
      <c r="D789" s="26">
        <v>1.25</v>
      </c>
      <c r="G789" s="26">
        <v>0.89700000000000002</v>
      </c>
      <c r="H789">
        <v>0.70399999999999996</v>
      </c>
      <c r="I789" s="26">
        <v>0.70599999999999996</v>
      </c>
      <c r="J789" s="26">
        <v>0.56499999999999995</v>
      </c>
      <c r="K789" s="26">
        <v>0.88700000000000001</v>
      </c>
      <c r="M789" s="26">
        <v>0.71299999999999997</v>
      </c>
      <c r="N789" s="26">
        <v>0.315</v>
      </c>
      <c r="O789" s="26">
        <v>0.42</v>
      </c>
      <c r="P789" s="26">
        <v>0.59299999999999997</v>
      </c>
      <c r="R789" s="26">
        <v>0.499</v>
      </c>
      <c r="S789" s="26">
        <v>0.69799999999999995</v>
      </c>
      <c r="T789" s="26">
        <v>0.80900000000000005</v>
      </c>
      <c r="AN789" s="26">
        <v>7.5999999999999998E-2</v>
      </c>
    </row>
    <row r="790" spans="1:40" x14ac:dyDescent="0.25">
      <c r="A790" s="23" t="s">
        <v>141</v>
      </c>
      <c r="B790">
        <v>30</v>
      </c>
      <c r="C790">
        <v>20</v>
      </c>
      <c r="D790" s="26">
        <v>0.9</v>
      </c>
      <c r="G790" s="26">
        <v>0.84699999999999998</v>
      </c>
      <c r="H790">
        <v>0.66500000000000004</v>
      </c>
      <c r="I790" s="26">
        <v>1.052</v>
      </c>
      <c r="J790" s="26">
        <v>0.70099999999999996</v>
      </c>
      <c r="K790" s="26">
        <v>1.115</v>
      </c>
      <c r="M790" s="26">
        <v>0.85099999999999998</v>
      </c>
      <c r="N790" s="26">
        <v>0.56299999999999994</v>
      </c>
      <c r="O790" s="26">
        <v>0.56299999999999994</v>
      </c>
      <c r="P790" s="26">
        <v>0.81499999999999995</v>
      </c>
      <c r="R790" s="26">
        <v>0.64400000000000002</v>
      </c>
      <c r="S790" s="26">
        <v>1.147</v>
      </c>
      <c r="T790" s="26">
        <v>0.998</v>
      </c>
      <c r="AN790" s="26">
        <v>9.7000000000000003E-2</v>
      </c>
    </row>
    <row r="791" spans="1:40" x14ac:dyDescent="0.25">
      <c r="A791" s="23" t="s">
        <v>141</v>
      </c>
      <c r="B791">
        <v>30</v>
      </c>
      <c r="C791">
        <v>20</v>
      </c>
      <c r="D791" s="26">
        <v>1.25</v>
      </c>
      <c r="G791" s="26">
        <v>1.147</v>
      </c>
      <c r="H791">
        <v>0.90100000000000002</v>
      </c>
      <c r="I791" s="26">
        <v>1.3779999999999999</v>
      </c>
      <c r="J791" s="26">
        <v>0.91900000000000004</v>
      </c>
      <c r="K791" s="26">
        <v>1.0960000000000001</v>
      </c>
      <c r="M791" s="26">
        <v>1.1319999999999999</v>
      </c>
      <c r="N791" s="26">
        <v>0.73299999999999998</v>
      </c>
      <c r="O791" s="26">
        <v>0.73299999999999998</v>
      </c>
      <c r="P791" s="26">
        <v>0.79900000000000004</v>
      </c>
      <c r="R791" s="26">
        <v>0.85599999999999998</v>
      </c>
      <c r="S791" s="26">
        <v>1.512</v>
      </c>
      <c r="T791" s="26">
        <v>1.34</v>
      </c>
      <c r="AN791" s="26">
        <v>9.6000000000000002E-2</v>
      </c>
    </row>
    <row r="792" spans="1:40" x14ac:dyDescent="0.25">
      <c r="A792" s="23" t="s">
        <v>141</v>
      </c>
      <c r="B792">
        <v>30</v>
      </c>
      <c r="C792">
        <v>20</v>
      </c>
      <c r="D792" s="26">
        <v>1.6</v>
      </c>
      <c r="G792" s="26">
        <v>1.4319999999999999</v>
      </c>
      <c r="H792" s="25">
        <v>1.1240000000000001</v>
      </c>
      <c r="I792" s="26">
        <v>1.6619999999999999</v>
      </c>
      <c r="J792" s="26">
        <v>1.1080000000000001</v>
      </c>
      <c r="K792" s="26">
        <v>1.077</v>
      </c>
      <c r="M792" s="26">
        <v>1.3879999999999999</v>
      </c>
      <c r="N792" s="26">
        <v>0.878</v>
      </c>
      <c r="O792" s="26">
        <v>0.878</v>
      </c>
      <c r="P792" s="26">
        <v>0.78300000000000003</v>
      </c>
      <c r="R792" s="26">
        <v>1.046</v>
      </c>
      <c r="S792" s="26">
        <v>1.8320000000000001</v>
      </c>
      <c r="T792" s="26">
        <v>1.6559999999999999</v>
      </c>
      <c r="AN792" s="26">
        <v>9.5000000000000001E-2</v>
      </c>
    </row>
    <row r="793" spans="1:40" x14ac:dyDescent="0.25">
      <c r="A793" s="23" t="s">
        <v>141</v>
      </c>
      <c r="B793">
        <v>40</v>
      </c>
      <c r="C793">
        <v>20</v>
      </c>
      <c r="D793" s="26">
        <v>0.9</v>
      </c>
      <c r="G793" s="26">
        <v>1.0269999999999999</v>
      </c>
      <c r="H793">
        <v>0.80600000000000005</v>
      </c>
      <c r="I793" s="26">
        <v>2.129</v>
      </c>
      <c r="J793" s="26">
        <v>1.0640000000000001</v>
      </c>
      <c r="K793" s="26">
        <v>1.44</v>
      </c>
      <c r="M793" s="26">
        <v>1.319</v>
      </c>
      <c r="N793" s="26">
        <v>0.72699999999999998</v>
      </c>
      <c r="O793" s="26">
        <v>0.72699999999999998</v>
      </c>
      <c r="P793" s="26">
        <v>0.84099999999999997</v>
      </c>
      <c r="R793" s="26">
        <v>0.81599999999999995</v>
      </c>
      <c r="S793" s="26">
        <v>1.718</v>
      </c>
      <c r="T793" s="26">
        <v>1.341</v>
      </c>
      <c r="AN793" s="26">
        <v>0.11700000000000001</v>
      </c>
    </row>
    <row r="794" spans="1:40" x14ac:dyDescent="0.25">
      <c r="A794" s="23" t="s">
        <v>141</v>
      </c>
      <c r="B794">
        <v>40</v>
      </c>
      <c r="C794">
        <v>20</v>
      </c>
      <c r="D794" s="26">
        <v>1.25</v>
      </c>
      <c r="G794" s="26">
        <v>1.397</v>
      </c>
      <c r="H794" s="25">
        <v>1.097</v>
      </c>
      <c r="I794" s="26">
        <v>2.8170000000000002</v>
      </c>
      <c r="J794" s="26">
        <v>1.4079999999999999</v>
      </c>
      <c r="K794" s="26">
        <v>1.42</v>
      </c>
      <c r="M794" s="26">
        <v>1.7689999999999999</v>
      </c>
      <c r="N794" s="26">
        <v>0.95299999999999996</v>
      </c>
      <c r="O794" s="26">
        <v>0.95299999999999996</v>
      </c>
      <c r="P794" s="26">
        <v>0.82599999999999996</v>
      </c>
      <c r="R794" s="26">
        <v>1.0900000000000001</v>
      </c>
      <c r="S794" s="26">
        <v>2.2759999999999998</v>
      </c>
      <c r="T794" s="26">
        <v>1.8089999999999999</v>
      </c>
      <c r="AN794" s="26">
        <v>0.11600000000000001</v>
      </c>
    </row>
    <row r="795" spans="1:40" x14ac:dyDescent="0.25">
      <c r="A795" s="23" t="s">
        <v>141</v>
      </c>
      <c r="B795">
        <v>40</v>
      </c>
      <c r="C795">
        <v>20</v>
      </c>
      <c r="D795" s="26">
        <v>1.6</v>
      </c>
      <c r="G795" s="26">
        <v>1.752</v>
      </c>
      <c r="H795" s="25">
        <v>1.375</v>
      </c>
      <c r="I795" s="26">
        <v>3.431</v>
      </c>
      <c r="J795" s="26">
        <v>1.716</v>
      </c>
      <c r="K795" s="26">
        <v>1.4</v>
      </c>
      <c r="M795" s="26">
        <v>2.1829999999999998</v>
      </c>
      <c r="N795" s="26">
        <v>1.149</v>
      </c>
      <c r="O795" s="26">
        <v>1.149</v>
      </c>
      <c r="P795" s="26">
        <v>0.81</v>
      </c>
      <c r="R795" s="26">
        <v>1.341</v>
      </c>
      <c r="S795" s="26">
        <v>2.7730000000000001</v>
      </c>
      <c r="T795" s="26">
        <v>2.2450000000000001</v>
      </c>
      <c r="AN795" s="26">
        <v>0.115</v>
      </c>
    </row>
    <row r="796" spans="1:40" x14ac:dyDescent="0.25">
      <c r="A796" s="23" t="s">
        <v>141</v>
      </c>
      <c r="B796">
        <v>40</v>
      </c>
      <c r="C796">
        <v>30</v>
      </c>
      <c r="D796" s="26">
        <v>1.25</v>
      </c>
      <c r="G796" s="26">
        <v>1.647</v>
      </c>
      <c r="H796" s="25">
        <v>1.2929999999999999</v>
      </c>
      <c r="I796" s="26">
        <v>3.7549999999999999</v>
      </c>
      <c r="J796" s="26">
        <v>1.8779999999999999</v>
      </c>
      <c r="K796" s="26">
        <v>1.51</v>
      </c>
      <c r="M796" s="26">
        <v>2.2530000000000001</v>
      </c>
      <c r="N796" s="26">
        <v>2.4119999999999999</v>
      </c>
      <c r="O796" s="26">
        <v>1.6080000000000001</v>
      </c>
      <c r="P796" s="26">
        <v>1.21</v>
      </c>
      <c r="R796" s="26">
        <v>1.851</v>
      </c>
      <c r="S796" s="26">
        <v>4.5720000000000001</v>
      </c>
      <c r="T796" s="26">
        <v>2.778</v>
      </c>
      <c r="AN796" s="26">
        <v>0.13600000000000001</v>
      </c>
    </row>
    <row r="797" spans="1:40" x14ac:dyDescent="0.25">
      <c r="A797" s="23" t="s">
        <v>141</v>
      </c>
      <c r="B797">
        <v>40</v>
      </c>
      <c r="C797">
        <v>30</v>
      </c>
      <c r="D797" s="26">
        <v>1.6</v>
      </c>
      <c r="G797" s="26">
        <v>2.0720000000000001</v>
      </c>
      <c r="H797" s="25">
        <v>1.6259999999999999</v>
      </c>
      <c r="I797" s="26">
        <v>4.6109999999999998</v>
      </c>
      <c r="J797" s="26">
        <v>2.306</v>
      </c>
      <c r="K797" s="26">
        <v>1.492</v>
      </c>
      <c r="M797" s="26">
        <v>2.798</v>
      </c>
      <c r="N797" s="26">
        <v>2.952</v>
      </c>
      <c r="O797" s="26">
        <v>1.968</v>
      </c>
      <c r="P797" s="26">
        <v>1.194</v>
      </c>
      <c r="R797" s="26">
        <v>2.2959999999999998</v>
      </c>
      <c r="S797" s="26">
        <v>5.6459999999999999</v>
      </c>
      <c r="T797" s="26">
        <v>3.4740000000000002</v>
      </c>
      <c r="AN797" s="26">
        <v>0.13500000000000001</v>
      </c>
    </row>
    <row r="798" spans="1:40" x14ac:dyDescent="0.25">
      <c r="A798" s="23" t="s">
        <v>141</v>
      </c>
      <c r="B798">
        <v>40</v>
      </c>
      <c r="C798">
        <v>30</v>
      </c>
      <c r="D798" s="26">
        <v>2</v>
      </c>
      <c r="G798" s="26">
        <v>2.5369999999999999</v>
      </c>
      <c r="H798" s="25">
        <v>1.992</v>
      </c>
      <c r="I798" s="26">
        <v>5.4909999999999997</v>
      </c>
      <c r="J798" s="26">
        <v>2.746</v>
      </c>
      <c r="K798" s="26">
        <v>1.4710000000000001</v>
      </c>
      <c r="M798" s="26">
        <v>3.3759999999999999</v>
      </c>
      <c r="N798" s="26">
        <v>3.504</v>
      </c>
      <c r="O798" s="26">
        <v>2.3359999999999999</v>
      </c>
      <c r="P798" s="26">
        <v>1.175</v>
      </c>
      <c r="R798" s="26">
        <v>2.7679999999999998</v>
      </c>
      <c r="S798" s="26">
        <v>6.7619999999999996</v>
      </c>
      <c r="T798" s="26">
        <v>4.2249999999999996</v>
      </c>
      <c r="AN798" s="26">
        <v>0.13300000000000001</v>
      </c>
    </row>
    <row r="799" spans="1:40" x14ac:dyDescent="0.25">
      <c r="A799" s="23" t="s">
        <v>141</v>
      </c>
      <c r="B799">
        <v>50</v>
      </c>
      <c r="C799">
        <v>30</v>
      </c>
      <c r="D799" s="26">
        <v>1.25</v>
      </c>
      <c r="G799" s="26">
        <v>1.897</v>
      </c>
      <c r="H799" s="25">
        <v>1.4890000000000001</v>
      </c>
      <c r="I799" s="26">
        <v>6.4390000000000001</v>
      </c>
      <c r="J799" s="26">
        <v>2.5760000000000001</v>
      </c>
      <c r="K799" s="26">
        <v>1.8420000000000001</v>
      </c>
      <c r="M799" s="26">
        <v>3.1389999999999998</v>
      </c>
      <c r="N799" s="26">
        <v>2.9279999999999999</v>
      </c>
      <c r="O799" s="26">
        <v>1.952</v>
      </c>
      <c r="P799" s="26">
        <v>1.242</v>
      </c>
      <c r="R799" s="26">
        <v>2.2109999999999999</v>
      </c>
      <c r="S799" s="26">
        <v>6.3090000000000002</v>
      </c>
      <c r="T799" s="26">
        <v>3.496</v>
      </c>
      <c r="AN799" s="26">
        <v>0.156</v>
      </c>
    </row>
    <row r="800" spans="1:40" x14ac:dyDescent="0.25">
      <c r="A800" s="23" t="s">
        <v>141</v>
      </c>
      <c r="B800">
        <v>50</v>
      </c>
      <c r="C800">
        <v>30</v>
      </c>
      <c r="D800" s="26">
        <v>1.6</v>
      </c>
      <c r="G800" s="26">
        <v>2.3919999999999999</v>
      </c>
      <c r="H800" s="25">
        <v>1.877</v>
      </c>
      <c r="I800" s="26">
        <v>7.95</v>
      </c>
      <c r="J800" s="26">
        <v>3.18</v>
      </c>
      <c r="K800" s="26">
        <v>1.823</v>
      </c>
      <c r="M800" s="26">
        <v>3.9140000000000001</v>
      </c>
      <c r="N800" s="26">
        <v>3.5979999999999999</v>
      </c>
      <c r="O800" s="26">
        <v>2.3980000000000001</v>
      </c>
      <c r="P800" s="26">
        <v>1.226</v>
      </c>
      <c r="R800" s="26">
        <v>2.7509999999999999</v>
      </c>
      <c r="S800" s="26">
        <v>7.8159999999999998</v>
      </c>
      <c r="T800" s="26">
        <v>4.383</v>
      </c>
      <c r="AN800" s="26">
        <v>0.155</v>
      </c>
    </row>
    <row r="801" spans="1:40" x14ac:dyDescent="0.25">
      <c r="A801" s="23" t="s">
        <v>141</v>
      </c>
      <c r="B801">
        <v>50</v>
      </c>
      <c r="C801">
        <v>30</v>
      </c>
      <c r="D801" s="26">
        <v>2</v>
      </c>
      <c r="G801" s="26">
        <v>2.9369999999999998</v>
      </c>
      <c r="H801" s="25">
        <v>2.306</v>
      </c>
      <c r="I801" s="26">
        <v>9.5289999999999999</v>
      </c>
      <c r="J801" s="26">
        <v>3.8119999999999998</v>
      </c>
      <c r="K801" s="26">
        <v>1.8009999999999999</v>
      </c>
      <c r="M801" s="26">
        <v>4.7439999999999998</v>
      </c>
      <c r="N801" s="26">
        <v>4.2880000000000003</v>
      </c>
      <c r="O801" s="26">
        <v>2.859</v>
      </c>
      <c r="P801" s="26">
        <v>1.208</v>
      </c>
      <c r="R801" s="26">
        <v>3.3279999999999998</v>
      </c>
      <c r="S801" s="26">
        <v>9.3979999999999997</v>
      </c>
      <c r="T801" s="26">
        <v>5.3449999999999998</v>
      </c>
      <c r="AN801" s="26">
        <v>0.153</v>
      </c>
    </row>
    <row r="802" spans="1:40" x14ac:dyDescent="0.25">
      <c r="A802" s="23" t="s">
        <v>141</v>
      </c>
      <c r="B802">
        <v>50</v>
      </c>
      <c r="C802">
        <v>30</v>
      </c>
      <c r="D802" s="26">
        <v>2.5</v>
      </c>
      <c r="G802" s="26">
        <v>3.589</v>
      </c>
      <c r="H802" s="25">
        <v>2.8170000000000002</v>
      </c>
      <c r="I802" s="26">
        <v>11.291</v>
      </c>
      <c r="J802" s="26">
        <v>4.516</v>
      </c>
      <c r="K802" s="26">
        <v>1.774</v>
      </c>
      <c r="M802" s="26">
        <v>5.7030000000000003</v>
      </c>
      <c r="N802" s="26">
        <v>5.0449999999999999</v>
      </c>
      <c r="O802" s="26">
        <v>3.363</v>
      </c>
      <c r="P802" s="26">
        <v>1.1859999999999999</v>
      </c>
      <c r="R802" s="26">
        <v>3.9889999999999999</v>
      </c>
      <c r="S802" s="26">
        <v>11.166</v>
      </c>
      <c r="T802" s="26">
        <v>6.4710000000000001</v>
      </c>
      <c r="AN802" s="26">
        <v>0.151</v>
      </c>
    </row>
    <row r="803" spans="1:40" x14ac:dyDescent="0.25">
      <c r="A803" s="23" t="s">
        <v>141</v>
      </c>
      <c r="B803">
        <v>60</v>
      </c>
      <c r="C803">
        <v>30</v>
      </c>
      <c r="D803" s="26">
        <v>1.6</v>
      </c>
      <c r="G803" s="26">
        <v>2.7120000000000002</v>
      </c>
      <c r="H803" s="25">
        <v>2.129</v>
      </c>
      <c r="I803" s="26">
        <v>12.484</v>
      </c>
      <c r="J803" s="26">
        <v>4.1609999999999996</v>
      </c>
      <c r="K803" s="26">
        <v>2.1459999999999999</v>
      </c>
      <c r="M803" s="26">
        <v>5.1890000000000001</v>
      </c>
      <c r="N803" s="26">
        <v>4.2430000000000003</v>
      </c>
      <c r="O803" s="26">
        <v>2.8290000000000002</v>
      </c>
      <c r="P803" s="26">
        <v>1.2509999999999999</v>
      </c>
      <c r="R803" s="26">
        <v>3.2050000000000001</v>
      </c>
      <c r="S803" s="26">
        <v>10.081</v>
      </c>
      <c r="T803" s="26">
        <v>5.2919999999999998</v>
      </c>
      <c r="AN803" s="26">
        <v>0.17499999999999999</v>
      </c>
    </row>
    <row r="804" spans="1:40" x14ac:dyDescent="0.25">
      <c r="A804" s="23" t="s">
        <v>141</v>
      </c>
      <c r="B804">
        <v>60</v>
      </c>
      <c r="C804">
        <v>30</v>
      </c>
      <c r="D804" s="26">
        <v>2</v>
      </c>
      <c r="G804" s="26">
        <v>3.3370000000000002</v>
      </c>
      <c r="H804" s="25">
        <v>2.62</v>
      </c>
      <c r="I804" s="26">
        <v>15.035</v>
      </c>
      <c r="J804" s="26">
        <v>5.0119999999999996</v>
      </c>
      <c r="K804" s="26">
        <v>2.1230000000000002</v>
      </c>
      <c r="M804" s="26">
        <v>6.3129999999999997</v>
      </c>
      <c r="N804" s="26">
        <v>5.0720000000000001</v>
      </c>
      <c r="O804" s="26">
        <v>3.3809999999999998</v>
      </c>
      <c r="P804" s="26">
        <v>1.2330000000000001</v>
      </c>
      <c r="R804" s="26">
        <v>3.8879999999999999</v>
      </c>
      <c r="S804" s="26">
        <v>12.15</v>
      </c>
      <c r="T804" s="26">
        <v>6.4649999999999999</v>
      </c>
      <c r="AN804" s="26">
        <v>0.17299999999999999</v>
      </c>
    </row>
    <row r="805" spans="1:40" x14ac:dyDescent="0.25">
      <c r="A805" s="23" t="s">
        <v>141</v>
      </c>
      <c r="B805">
        <v>60</v>
      </c>
      <c r="C805">
        <v>30</v>
      </c>
      <c r="D805" s="26">
        <v>2.5</v>
      </c>
      <c r="G805" s="26">
        <v>4.0890000000000004</v>
      </c>
      <c r="H805" s="25">
        <v>3.21</v>
      </c>
      <c r="I805" s="26">
        <v>17.922999999999998</v>
      </c>
      <c r="J805" s="26">
        <v>5.9740000000000002</v>
      </c>
      <c r="K805" s="26">
        <v>2.0939999999999999</v>
      </c>
      <c r="M805" s="26">
        <v>7.6219999999999999</v>
      </c>
      <c r="N805" s="26">
        <v>5.99</v>
      </c>
      <c r="O805" s="26">
        <v>3.9929999999999999</v>
      </c>
      <c r="P805" s="26">
        <v>1.21</v>
      </c>
      <c r="R805" s="26">
        <v>4.6769999999999996</v>
      </c>
      <c r="S805" s="26">
        <v>14.484</v>
      </c>
      <c r="T805" s="26">
        <v>7.8460000000000001</v>
      </c>
      <c r="AN805" s="26">
        <v>0.17100000000000001</v>
      </c>
    </row>
    <row r="806" spans="1:40" x14ac:dyDescent="0.25">
      <c r="A806" s="23" t="s">
        <v>141</v>
      </c>
      <c r="B806">
        <v>70</v>
      </c>
      <c r="C806">
        <v>30</v>
      </c>
      <c r="D806" s="26">
        <v>1.6</v>
      </c>
      <c r="G806" s="26">
        <v>3.032</v>
      </c>
      <c r="H806" s="25">
        <v>2.38</v>
      </c>
      <c r="I806" s="26">
        <v>18.373000000000001</v>
      </c>
      <c r="J806" s="26">
        <v>5.2489999999999997</v>
      </c>
      <c r="K806" s="26">
        <v>2.4620000000000002</v>
      </c>
      <c r="M806" s="26">
        <v>6.625</v>
      </c>
      <c r="N806" s="26">
        <v>4.8879999999999999</v>
      </c>
      <c r="O806" s="26">
        <v>3.2589999999999999</v>
      </c>
      <c r="P806" s="26">
        <v>1.27</v>
      </c>
      <c r="R806" s="26">
        <v>3.66</v>
      </c>
      <c r="S806" s="26">
        <v>12.411</v>
      </c>
      <c r="T806" s="26">
        <v>6.2</v>
      </c>
      <c r="AN806" s="26">
        <v>0.19500000000000001</v>
      </c>
    </row>
    <row r="807" spans="1:40" x14ac:dyDescent="0.25">
      <c r="A807" s="23" t="s">
        <v>141</v>
      </c>
      <c r="B807">
        <v>70</v>
      </c>
      <c r="C807">
        <v>30</v>
      </c>
      <c r="D807" s="26">
        <v>2</v>
      </c>
      <c r="G807" s="26">
        <v>3.7370000000000001</v>
      </c>
      <c r="H807" s="25">
        <v>2.9340000000000002</v>
      </c>
      <c r="I807" s="26">
        <v>22.207999999999998</v>
      </c>
      <c r="J807" s="26">
        <v>6.3449999999999998</v>
      </c>
      <c r="K807" s="26">
        <v>2.4380000000000002</v>
      </c>
      <c r="M807" s="26">
        <v>8.0809999999999995</v>
      </c>
      <c r="N807" s="26">
        <v>5.8559999999999999</v>
      </c>
      <c r="O807" s="26">
        <v>3.9039999999999999</v>
      </c>
      <c r="P807" s="26">
        <v>1.252</v>
      </c>
      <c r="R807" s="26">
        <v>4.4480000000000004</v>
      </c>
      <c r="S807" s="26">
        <v>14.983000000000001</v>
      </c>
      <c r="T807" s="26">
        <v>7.585</v>
      </c>
      <c r="AN807" s="26">
        <v>0.193</v>
      </c>
    </row>
    <row r="808" spans="1:40" x14ac:dyDescent="0.25">
      <c r="A808" s="23" t="s">
        <v>141</v>
      </c>
      <c r="B808">
        <v>70</v>
      </c>
      <c r="C808">
        <v>30</v>
      </c>
      <c r="D808" s="26">
        <v>2.5</v>
      </c>
      <c r="G808" s="26">
        <v>4.5890000000000004</v>
      </c>
      <c r="H808" s="25">
        <v>3.6019999999999999</v>
      </c>
      <c r="I808" s="26">
        <v>26.597000000000001</v>
      </c>
      <c r="J808" s="26">
        <v>7.5990000000000002</v>
      </c>
      <c r="K808" s="26">
        <v>2.407</v>
      </c>
      <c r="M808" s="26">
        <v>9.7919999999999998</v>
      </c>
      <c r="N808" s="26">
        <v>6.9349999999999996</v>
      </c>
      <c r="O808" s="26">
        <v>4.6239999999999997</v>
      </c>
      <c r="P808" s="26">
        <v>1.2290000000000001</v>
      </c>
      <c r="R808" s="26">
        <v>5.3639999999999999</v>
      </c>
      <c r="S808" s="26">
        <v>17.899999999999999</v>
      </c>
      <c r="T808" s="26">
        <v>9.2210000000000001</v>
      </c>
      <c r="AN808" s="26">
        <v>0.191</v>
      </c>
    </row>
    <row r="809" spans="1:40" x14ac:dyDescent="0.25">
      <c r="A809" s="23" t="s">
        <v>141</v>
      </c>
      <c r="B809">
        <v>50</v>
      </c>
      <c r="C809">
        <v>40</v>
      </c>
      <c r="D809" s="26">
        <v>1.6</v>
      </c>
      <c r="G809" s="26">
        <v>2.7120000000000002</v>
      </c>
      <c r="H809" s="25">
        <v>2.129</v>
      </c>
      <c r="I809" s="26">
        <v>9.8239999999999998</v>
      </c>
      <c r="J809" s="26">
        <v>3.93</v>
      </c>
      <c r="K809" s="26">
        <v>1.903</v>
      </c>
      <c r="M809" s="26">
        <v>4.6879999999999997</v>
      </c>
      <c r="N809" s="26">
        <v>6.97</v>
      </c>
      <c r="O809" s="26">
        <v>3.4849999999999999</v>
      </c>
      <c r="P809" s="26">
        <v>1.603</v>
      </c>
      <c r="R809" s="26">
        <v>4.0270000000000001</v>
      </c>
      <c r="S809" s="26">
        <v>12.667</v>
      </c>
      <c r="T809" s="26">
        <v>5.9320000000000004</v>
      </c>
      <c r="AN809" s="26">
        <v>0.17499999999999999</v>
      </c>
    </row>
    <row r="810" spans="1:40" x14ac:dyDescent="0.25">
      <c r="A810" s="23" t="s">
        <v>141</v>
      </c>
      <c r="B810">
        <v>50</v>
      </c>
      <c r="C810">
        <v>40</v>
      </c>
      <c r="D810" s="26">
        <v>2</v>
      </c>
      <c r="G810" s="26">
        <v>3.3370000000000002</v>
      </c>
      <c r="H810" s="25">
        <v>2.62</v>
      </c>
      <c r="I810" s="26">
        <v>11.833</v>
      </c>
      <c r="J810" s="26">
        <v>4.7329999999999997</v>
      </c>
      <c r="K810" s="26">
        <v>1.883</v>
      </c>
      <c r="M810" s="26">
        <v>5.7039999999999997</v>
      </c>
      <c r="N810" s="26">
        <v>8.3789999999999996</v>
      </c>
      <c r="O810" s="26">
        <v>4.1900000000000004</v>
      </c>
      <c r="P810" s="26">
        <v>1.585</v>
      </c>
      <c r="R810" s="26">
        <v>4.8959999999999999</v>
      </c>
      <c r="S810" s="26">
        <v>15.343</v>
      </c>
      <c r="T810" s="26">
        <v>7.2649999999999997</v>
      </c>
      <c r="AN810" s="26">
        <v>0.17299999999999999</v>
      </c>
    </row>
    <row r="811" spans="1:40" x14ac:dyDescent="0.25">
      <c r="A811" s="23" t="s">
        <v>141</v>
      </c>
      <c r="B811">
        <v>50</v>
      </c>
      <c r="C811">
        <v>40</v>
      </c>
      <c r="D811" s="26">
        <v>2.5</v>
      </c>
      <c r="G811" s="26">
        <v>4.0890000000000004</v>
      </c>
      <c r="H811" s="25">
        <v>3.21</v>
      </c>
      <c r="I811" s="26">
        <v>14.111000000000001</v>
      </c>
      <c r="J811" s="26">
        <v>5.6440000000000001</v>
      </c>
      <c r="K811" s="26">
        <v>1.8580000000000001</v>
      </c>
      <c r="M811" s="26">
        <v>6.89</v>
      </c>
      <c r="N811" s="26">
        <v>9.9670000000000005</v>
      </c>
      <c r="O811" s="26">
        <v>4.9829999999999997</v>
      </c>
      <c r="P811" s="26">
        <v>1.5609999999999999</v>
      </c>
      <c r="R811" s="26">
        <v>5.9089999999999998</v>
      </c>
      <c r="S811" s="26">
        <v>18.411999999999999</v>
      </c>
      <c r="T811" s="26">
        <v>8.8460000000000001</v>
      </c>
      <c r="AN811" s="26">
        <v>0.17100000000000001</v>
      </c>
    </row>
    <row r="812" spans="1:40" x14ac:dyDescent="0.25">
      <c r="A812" s="23" t="s">
        <v>141</v>
      </c>
      <c r="B812">
        <v>60</v>
      </c>
      <c r="C812">
        <v>40</v>
      </c>
      <c r="D812" s="26">
        <v>1.6</v>
      </c>
      <c r="G812" s="26">
        <v>3.032</v>
      </c>
      <c r="H812" s="25">
        <v>2.38</v>
      </c>
      <c r="I812" s="26">
        <v>15.212</v>
      </c>
      <c r="J812" s="26">
        <v>5.0709999999999997</v>
      </c>
      <c r="K812" s="26">
        <v>2.2400000000000002</v>
      </c>
      <c r="M812" s="26">
        <v>6.1239999999999997</v>
      </c>
      <c r="N812" s="26">
        <v>8.15</v>
      </c>
      <c r="O812" s="26">
        <v>4.0750000000000002</v>
      </c>
      <c r="P812" s="26">
        <v>1.64</v>
      </c>
      <c r="R812" s="26">
        <v>4.641</v>
      </c>
      <c r="S812" s="26">
        <v>16.552</v>
      </c>
      <c r="T812" s="26">
        <v>7.16</v>
      </c>
      <c r="AN812" s="26">
        <v>0.19500000000000001</v>
      </c>
    </row>
    <row r="813" spans="1:40" x14ac:dyDescent="0.25">
      <c r="A813" s="23" t="s">
        <v>141</v>
      </c>
      <c r="B813">
        <v>60</v>
      </c>
      <c r="C813">
        <v>40</v>
      </c>
      <c r="D813" s="26">
        <v>2</v>
      </c>
      <c r="G813" s="26">
        <v>3.7370000000000001</v>
      </c>
      <c r="H813" s="25">
        <v>2.9340000000000002</v>
      </c>
      <c r="I813" s="26">
        <v>18.399000000000001</v>
      </c>
      <c r="J813" s="26">
        <v>6.133</v>
      </c>
      <c r="K813" s="26">
        <v>2.2189999999999999</v>
      </c>
      <c r="M813" s="26">
        <v>7.4729999999999999</v>
      </c>
      <c r="N813" s="26">
        <v>9.8230000000000004</v>
      </c>
      <c r="O813" s="26">
        <v>4.9119999999999999</v>
      </c>
      <c r="P813" s="26">
        <v>1.621</v>
      </c>
      <c r="R813" s="26">
        <v>5.6559999999999997</v>
      </c>
      <c r="S813" s="26">
        <v>20.097999999999999</v>
      </c>
      <c r="T813" s="26">
        <v>8.7850000000000001</v>
      </c>
      <c r="AN813" s="26">
        <v>0.193</v>
      </c>
    </row>
    <row r="814" spans="1:40" x14ac:dyDescent="0.25">
      <c r="A814" s="23" t="s">
        <v>141</v>
      </c>
      <c r="B814">
        <v>60</v>
      </c>
      <c r="C814">
        <v>40</v>
      </c>
      <c r="D814" s="26">
        <v>2.5</v>
      </c>
      <c r="G814" s="26">
        <v>4.5890000000000004</v>
      </c>
      <c r="H814" s="25">
        <v>3.6019999999999999</v>
      </c>
      <c r="I814" s="26">
        <v>22.055</v>
      </c>
      <c r="J814" s="26">
        <v>7.3520000000000003</v>
      </c>
      <c r="K814" s="26">
        <v>2.1920000000000002</v>
      </c>
      <c r="M814" s="26">
        <v>9.06</v>
      </c>
      <c r="N814" s="26">
        <v>11.725</v>
      </c>
      <c r="O814" s="26">
        <v>5.8620000000000001</v>
      </c>
      <c r="P814" s="26">
        <v>1.5980000000000001</v>
      </c>
      <c r="R814" s="26">
        <v>6.8460000000000001</v>
      </c>
      <c r="S814" s="26">
        <v>24.196999999999999</v>
      </c>
      <c r="T814" s="26">
        <v>10.721</v>
      </c>
      <c r="AN814" s="26">
        <v>0.191</v>
      </c>
    </row>
    <row r="815" spans="1:40" x14ac:dyDescent="0.25">
      <c r="A815" s="23" t="s">
        <v>141</v>
      </c>
      <c r="B815">
        <v>60</v>
      </c>
      <c r="C815">
        <v>40</v>
      </c>
      <c r="D815" s="26">
        <v>3.2</v>
      </c>
      <c r="G815" s="26">
        <v>5.7270000000000003</v>
      </c>
      <c r="H815" s="25">
        <v>4.4950000000000001</v>
      </c>
      <c r="I815" s="26">
        <v>26.588999999999999</v>
      </c>
      <c r="J815" s="26">
        <v>8.8629999999999995</v>
      </c>
      <c r="K815" s="26">
        <v>2.1549999999999998</v>
      </c>
      <c r="M815" s="26">
        <v>11.1</v>
      </c>
      <c r="N815" s="26">
        <v>14.05</v>
      </c>
      <c r="O815" s="26">
        <v>7.0250000000000004</v>
      </c>
      <c r="P815" s="26">
        <v>1.5660000000000001</v>
      </c>
      <c r="R815" s="26">
        <v>8.3689999999999998</v>
      </c>
      <c r="S815" s="26">
        <v>29.311</v>
      </c>
      <c r="T815" s="26">
        <v>13.250999999999999</v>
      </c>
      <c r="AN815" s="26">
        <v>0.189</v>
      </c>
    </row>
    <row r="816" spans="1:40" x14ac:dyDescent="0.25">
      <c r="A816" s="23" t="s">
        <v>141</v>
      </c>
      <c r="B816">
        <v>80</v>
      </c>
      <c r="C816">
        <v>40</v>
      </c>
      <c r="D816" s="26">
        <v>1.6</v>
      </c>
      <c r="G816" s="26">
        <v>3.6720000000000002</v>
      </c>
      <c r="H816" s="25">
        <v>2.8820000000000001</v>
      </c>
      <c r="I816" s="26">
        <v>30.693999999999999</v>
      </c>
      <c r="J816" s="26">
        <v>7.6740000000000004</v>
      </c>
      <c r="K816" s="26">
        <v>2.891</v>
      </c>
      <c r="M816" s="26">
        <v>9.4749999999999996</v>
      </c>
      <c r="N816" s="26">
        <v>10.509</v>
      </c>
      <c r="O816" s="26">
        <v>5.2549999999999999</v>
      </c>
      <c r="P816" s="26">
        <v>1.6919999999999999</v>
      </c>
      <c r="R816" s="26">
        <v>5.87</v>
      </c>
      <c r="S816" s="26">
        <v>24.75</v>
      </c>
      <c r="T816" s="26">
        <v>9.6180000000000003</v>
      </c>
      <c r="AN816" s="26">
        <v>0.23499999999999999</v>
      </c>
    </row>
    <row r="817" spans="1:40" x14ac:dyDescent="0.25">
      <c r="A817" s="23" t="s">
        <v>141</v>
      </c>
      <c r="B817">
        <v>80</v>
      </c>
      <c r="C817">
        <v>40</v>
      </c>
      <c r="D817" s="26">
        <v>2</v>
      </c>
      <c r="G817" s="26">
        <v>4.5369999999999999</v>
      </c>
      <c r="H817" s="25">
        <v>3.5619999999999998</v>
      </c>
      <c r="I817" s="26">
        <v>37.331000000000003</v>
      </c>
      <c r="J817" s="26">
        <v>9.3330000000000002</v>
      </c>
      <c r="K817" s="26">
        <v>2.8679999999999999</v>
      </c>
      <c r="M817" s="26">
        <v>11.61</v>
      </c>
      <c r="N817" s="26">
        <v>12.711</v>
      </c>
      <c r="O817" s="26">
        <v>6.3559999999999999</v>
      </c>
      <c r="P817" s="26">
        <v>1.6739999999999999</v>
      </c>
      <c r="R817" s="26">
        <v>7.1760000000000002</v>
      </c>
      <c r="S817" s="26">
        <v>30.135999999999999</v>
      </c>
      <c r="T817" s="26">
        <v>11.824999999999999</v>
      </c>
      <c r="AN817" s="26">
        <v>0.23300000000000001</v>
      </c>
    </row>
    <row r="818" spans="1:40" x14ac:dyDescent="0.25">
      <c r="A818" s="23" t="s">
        <v>141</v>
      </c>
      <c r="B818">
        <v>80</v>
      </c>
      <c r="C818">
        <v>40</v>
      </c>
      <c r="D818" s="26">
        <v>2.5</v>
      </c>
      <c r="G818" s="26">
        <v>5.5890000000000004</v>
      </c>
      <c r="H818" s="25">
        <v>4.3869999999999996</v>
      </c>
      <c r="I818" s="26">
        <v>45.072000000000003</v>
      </c>
      <c r="J818" s="26">
        <v>11.268000000000001</v>
      </c>
      <c r="K818" s="26">
        <v>2.84</v>
      </c>
      <c r="M818" s="26">
        <v>14.148999999999999</v>
      </c>
      <c r="N818" s="26">
        <v>15.24</v>
      </c>
      <c r="O818" s="26">
        <v>7.62</v>
      </c>
      <c r="P818" s="26">
        <v>1.651</v>
      </c>
      <c r="R818" s="26">
        <v>8.7210000000000001</v>
      </c>
      <c r="S818" s="26">
        <v>36.417999999999999</v>
      </c>
      <c r="T818" s="26">
        <v>14.471</v>
      </c>
      <c r="AN818" s="26">
        <v>0.23100000000000001</v>
      </c>
    </row>
    <row r="819" spans="1:40" x14ac:dyDescent="0.25">
      <c r="A819" s="23" t="s">
        <v>141</v>
      </c>
      <c r="B819">
        <v>80</v>
      </c>
      <c r="C819">
        <v>40</v>
      </c>
      <c r="D819" s="26">
        <v>3.2</v>
      </c>
      <c r="G819" s="26">
        <v>7.0069999999999997</v>
      </c>
      <c r="H819" s="25">
        <v>5.5</v>
      </c>
      <c r="I819" s="26">
        <v>54.902000000000001</v>
      </c>
      <c r="J819" s="26">
        <v>13.725</v>
      </c>
      <c r="K819" s="26">
        <v>2.7989999999999999</v>
      </c>
      <c r="M819" s="26">
        <v>17.466999999999999</v>
      </c>
      <c r="N819" s="26">
        <v>18.384</v>
      </c>
      <c r="O819" s="26">
        <v>9.1920000000000002</v>
      </c>
      <c r="P819" s="26">
        <v>1.62</v>
      </c>
      <c r="R819" s="26">
        <v>10.725</v>
      </c>
      <c r="S819" s="26">
        <v>44.372999999999998</v>
      </c>
      <c r="T819" s="26">
        <v>17.960999999999999</v>
      </c>
      <c r="AN819" s="26">
        <v>0.22900000000000001</v>
      </c>
    </row>
    <row r="820" spans="1:40" x14ac:dyDescent="0.25">
      <c r="A820" s="23" t="s">
        <v>141</v>
      </c>
      <c r="B820">
        <v>80</v>
      </c>
      <c r="C820">
        <v>40</v>
      </c>
      <c r="D820" s="26">
        <v>4</v>
      </c>
      <c r="G820" s="26">
        <v>8.548</v>
      </c>
      <c r="H820" s="25">
        <v>6.71</v>
      </c>
      <c r="I820" s="26">
        <v>64.753</v>
      </c>
      <c r="J820" s="26">
        <v>16.187999999999999</v>
      </c>
      <c r="K820" s="26">
        <v>2.7519999999999998</v>
      </c>
      <c r="M820" s="26">
        <v>20.927</v>
      </c>
      <c r="N820" s="26">
        <v>21.440999999999999</v>
      </c>
      <c r="O820" s="26">
        <v>10.721</v>
      </c>
      <c r="P820" s="26">
        <v>1.5840000000000001</v>
      </c>
      <c r="R820" s="26">
        <v>12.792999999999999</v>
      </c>
      <c r="S820" s="26">
        <v>52.268000000000001</v>
      </c>
      <c r="T820" s="26">
        <v>21.640999999999998</v>
      </c>
      <c r="AN820" s="26">
        <v>0.22600000000000001</v>
      </c>
    </row>
    <row r="821" spans="1:40" x14ac:dyDescent="0.25">
      <c r="A821" s="23" t="s">
        <v>141</v>
      </c>
      <c r="B821">
        <v>100</v>
      </c>
      <c r="C821">
        <v>40</v>
      </c>
      <c r="D821" s="26">
        <v>2</v>
      </c>
      <c r="G821" s="26">
        <v>5.3369999999999997</v>
      </c>
      <c r="H821" s="25">
        <v>4.1900000000000004</v>
      </c>
      <c r="I821" s="26">
        <v>65.332999999999998</v>
      </c>
      <c r="J821" s="26">
        <v>13.067</v>
      </c>
      <c r="K821" s="26">
        <v>3.4990000000000001</v>
      </c>
      <c r="M821" s="26">
        <v>16.545999999999999</v>
      </c>
      <c r="N821" s="26">
        <v>15.599</v>
      </c>
      <c r="O821" s="26">
        <v>7.8</v>
      </c>
      <c r="P821" s="26">
        <v>1.71</v>
      </c>
      <c r="R821" s="26">
        <v>8.6959999999999997</v>
      </c>
      <c r="S821" s="26">
        <v>40.619999999999997</v>
      </c>
      <c r="T821" s="26">
        <v>14.865</v>
      </c>
      <c r="AN821" s="26">
        <v>0.27300000000000002</v>
      </c>
    </row>
    <row r="822" spans="1:40" x14ac:dyDescent="0.25">
      <c r="A822" s="23" t="s">
        <v>141</v>
      </c>
      <c r="B822">
        <v>100</v>
      </c>
      <c r="C822">
        <v>40</v>
      </c>
      <c r="D822" s="26">
        <v>2.5</v>
      </c>
      <c r="G822" s="26">
        <v>6.5890000000000004</v>
      </c>
      <c r="H822" s="25">
        <v>5.1719999999999997</v>
      </c>
      <c r="I822" s="26">
        <v>79.257999999999996</v>
      </c>
      <c r="J822" s="26">
        <v>15.852</v>
      </c>
      <c r="K822" s="26">
        <v>3.468</v>
      </c>
      <c r="M822" s="26">
        <v>20.236999999999998</v>
      </c>
      <c r="N822" s="26">
        <v>18.756</v>
      </c>
      <c r="O822" s="26">
        <v>9.3780000000000001</v>
      </c>
      <c r="P822" s="26">
        <v>1.6870000000000001</v>
      </c>
      <c r="R822" s="26">
        <v>10.596</v>
      </c>
      <c r="S822" s="26">
        <v>49.185000000000002</v>
      </c>
      <c r="T822" s="26">
        <v>18.221</v>
      </c>
      <c r="AN822" s="26">
        <v>0.27100000000000002</v>
      </c>
    </row>
    <row r="823" spans="1:40" x14ac:dyDescent="0.25">
      <c r="A823" s="23" t="s">
        <v>141</v>
      </c>
      <c r="B823">
        <v>100</v>
      </c>
      <c r="C823">
        <v>40</v>
      </c>
      <c r="D823" s="26">
        <v>3.2</v>
      </c>
      <c r="G823" s="26">
        <v>8.2870000000000008</v>
      </c>
      <c r="H823" s="25">
        <v>6.5049999999999999</v>
      </c>
      <c r="I823" s="26">
        <v>97.215000000000003</v>
      </c>
      <c r="J823" s="26">
        <v>19.443000000000001</v>
      </c>
      <c r="K823" s="26">
        <v>3.4249999999999998</v>
      </c>
      <c r="M823" s="26">
        <v>25.113</v>
      </c>
      <c r="N823" s="26">
        <v>22.716999999999999</v>
      </c>
      <c r="O823" s="26">
        <v>11.359</v>
      </c>
      <c r="P823" s="26">
        <v>1.6559999999999999</v>
      </c>
      <c r="R823" s="26">
        <v>13.08</v>
      </c>
      <c r="S823" s="26">
        <v>60.115000000000002</v>
      </c>
      <c r="T823" s="26">
        <v>22.672000000000001</v>
      </c>
      <c r="AN823" s="26">
        <v>0.26900000000000002</v>
      </c>
    </row>
    <row r="824" spans="1:40" x14ac:dyDescent="0.25">
      <c r="A824" s="23" t="s">
        <v>141</v>
      </c>
      <c r="B824">
        <v>100</v>
      </c>
      <c r="C824">
        <v>40</v>
      </c>
      <c r="D824" s="26">
        <v>4</v>
      </c>
      <c r="G824" s="26">
        <v>10.148</v>
      </c>
      <c r="H824" s="25">
        <v>7.9660000000000002</v>
      </c>
      <c r="I824" s="26">
        <v>115.60599999999999</v>
      </c>
      <c r="J824" s="26">
        <v>23.120999999999999</v>
      </c>
      <c r="K824" s="26">
        <v>3.375</v>
      </c>
      <c r="M824" s="26">
        <v>30.274999999999999</v>
      </c>
      <c r="N824" s="26">
        <v>26.625</v>
      </c>
      <c r="O824" s="26">
        <v>13.313000000000001</v>
      </c>
      <c r="P824" s="26">
        <v>1.62</v>
      </c>
      <c r="R824" s="26">
        <v>15.673</v>
      </c>
      <c r="S824" s="26">
        <v>71.097999999999999</v>
      </c>
      <c r="T824" s="26">
        <v>27.401</v>
      </c>
      <c r="AN824" s="26">
        <v>0.26600000000000001</v>
      </c>
    </row>
    <row r="825" spans="1:40" x14ac:dyDescent="0.25">
      <c r="A825" s="23" t="s">
        <v>141</v>
      </c>
      <c r="B825">
        <v>120</v>
      </c>
      <c r="C825">
        <v>40</v>
      </c>
      <c r="D825" s="26">
        <v>2</v>
      </c>
      <c r="G825" s="26">
        <v>6.1369999999999996</v>
      </c>
      <c r="H825" s="25">
        <v>4.8179999999999996</v>
      </c>
      <c r="I825" s="26">
        <v>104.003</v>
      </c>
      <c r="J825" s="26">
        <v>17.334</v>
      </c>
      <c r="K825" s="26">
        <v>4.117</v>
      </c>
      <c r="M825" s="26">
        <v>22.283000000000001</v>
      </c>
      <c r="N825" s="26">
        <v>18.486999999999998</v>
      </c>
      <c r="O825" s="26">
        <v>9.2439999999999998</v>
      </c>
      <c r="P825" s="26">
        <v>1.736</v>
      </c>
      <c r="R825" s="26">
        <v>10.215999999999999</v>
      </c>
      <c r="S825" s="26">
        <v>51.377000000000002</v>
      </c>
      <c r="T825" s="26">
        <v>17.905000000000001</v>
      </c>
      <c r="AN825" s="26">
        <v>0.313</v>
      </c>
    </row>
    <row r="826" spans="1:40" x14ac:dyDescent="0.25">
      <c r="A826" s="23" t="s">
        <v>141</v>
      </c>
      <c r="B826">
        <v>120</v>
      </c>
      <c r="C826">
        <v>40</v>
      </c>
      <c r="D826" s="26">
        <v>2.5</v>
      </c>
      <c r="G826" s="26">
        <v>7.5890000000000004</v>
      </c>
      <c r="H826" s="25">
        <v>5.9569999999999999</v>
      </c>
      <c r="I826" s="26">
        <v>126.61499999999999</v>
      </c>
      <c r="J826" s="26">
        <v>21.102</v>
      </c>
      <c r="K826" s="26">
        <v>4.085</v>
      </c>
      <c r="M826" s="26">
        <v>27.326000000000001</v>
      </c>
      <c r="N826" s="26">
        <v>22.271000000000001</v>
      </c>
      <c r="O826" s="26">
        <v>11.135999999999999</v>
      </c>
      <c r="P826" s="26">
        <v>1.7130000000000001</v>
      </c>
      <c r="R826" s="26">
        <v>12.471</v>
      </c>
      <c r="S826" s="26">
        <v>62.286000000000001</v>
      </c>
      <c r="T826" s="26">
        <v>21.971</v>
      </c>
      <c r="AN826" s="26">
        <v>0.311</v>
      </c>
    </row>
    <row r="827" spans="1:40" x14ac:dyDescent="0.25">
      <c r="A827" s="23" t="s">
        <v>141</v>
      </c>
      <c r="B827">
        <v>120</v>
      </c>
      <c r="C827">
        <v>40</v>
      </c>
      <c r="D827" s="26">
        <v>3.2</v>
      </c>
      <c r="G827" s="26">
        <v>9.5670000000000002</v>
      </c>
      <c r="H827" s="25">
        <v>7.51</v>
      </c>
      <c r="I827" s="26">
        <v>156.08799999999999</v>
      </c>
      <c r="J827" s="26">
        <v>26.015000000000001</v>
      </c>
      <c r="K827" s="26">
        <v>4.0389999999999997</v>
      </c>
      <c r="M827" s="26">
        <v>34.039000000000001</v>
      </c>
      <c r="N827" s="26">
        <v>27.050999999999998</v>
      </c>
      <c r="O827" s="26">
        <v>13.525</v>
      </c>
      <c r="P827" s="26">
        <v>1.6819999999999999</v>
      </c>
      <c r="R827" s="26">
        <v>15.435</v>
      </c>
      <c r="S827" s="26">
        <v>76.272000000000006</v>
      </c>
      <c r="T827" s="26">
        <v>27.382000000000001</v>
      </c>
      <c r="AN827" s="26">
        <v>0.309</v>
      </c>
    </row>
    <row r="828" spans="1:40" x14ac:dyDescent="0.25">
      <c r="A828" s="23" t="s">
        <v>141</v>
      </c>
      <c r="B828">
        <v>120</v>
      </c>
      <c r="C828">
        <v>40</v>
      </c>
      <c r="D828" s="26">
        <v>4</v>
      </c>
      <c r="G828" s="26">
        <v>11.747999999999999</v>
      </c>
      <c r="H828" s="25">
        <v>9.2219999999999995</v>
      </c>
      <c r="I828" s="26">
        <v>186.733</v>
      </c>
      <c r="J828" s="26">
        <v>31.122</v>
      </c>
      <c r="K828" s="26">
        <v>3.9870000000000001</v>
      </c>
      <c r="M828" s="26">
        <v>41.222000000000001</v>
      </c>
      <c r="N828" s="26">
        <v>31.809000000000001</v>
      </c>
      <c r="O828" s="26">
        <v>15.904999999999999</v>
      </c>
      <c r="P828" s="26">
        <v>1.645</v>
      </c>
      <c r="R828" s="26">
        <v>18.553000000000001</v>
      </c>
      <c r="S828" s="26">
        <v>90.43</v>
      </c>
      <c r="T828" s="26">
        <v>33.161000000000001</v>
      </c>
      <c r="AN828" s="26">
        <v>0.30599999999999999</v>
      </c>
    </row>
    <row r="829" spans="1:40" x14ac:dyDescent="0.25">
      <c r="A829" s="23" t="s">
        <v>141</v>
      </c>
      <c r="B829">
        <v>140</v>
      </c>
      <c r="C829">
        <v>40</v>
      </c>
      <c r="D829" s="26">
        <v>3.2</v>
      </c>
      <c r="G829" s="26">
        <v>10.847</v>
      </c>
      <c r="H829" s="25">
        <v>8.5150000000000006</v>
      </c>
      <c r="I829" s="26">
        <v>234.08099999999999</v>
      </c>
      <c r="J829" s="26">
        <v>33.44</v>
      </c>
      <c r="K829" s="26">
        <v>4.6459999999999999</v>
      </c>
      <c r="M829" s="26">
        <v>44.244999999999997</v>
      </c>
      <c r="N829" s="26">
        <v>31.384</v>
      </c>
      <c r="O829" s="26">
        <v>15.692</v>
      </c>
      <c r="P829" s="26">
        <v>1.7010000000000001</v>
      </c>
      <c r="R829" s="26">
        <v>17.79</v>
      </c>
      <c r="S829" s="26">
        <v>92.7</v>
      </c>
      <c r="T829" s="26">
        <v>32.093000000000004</v>
      </c>
      <c r="AN829" s="26">
        <v>0.34899999999999998</v>
      </c>
    </row>
    <row r="830" spans="1:40" x14ac:dyDescent="0.25">
      <c r="A830" s="23" t="s">
        <v>141</v>
      </c>
      <c r="B830">
        <v>140</v>
      </c>
      <c r="C830">
        <v>40</v>
      </c>
      <c r="D830" s="26">
        <v>4</v>
      </c>
      <c r="G830" s="26">
        <v>13.348000000000001</v>
      </c>
      <c r="H830" s="25">
        <v>10.478</v>
      </c>
      <c r="I830" s="26">
        <v>281.33600000000001</v>
      </c>
      <c r="J830" s="26">
        <v>40.191000000000003</v>
      </c>
      <c r="K830" s="26">
        <v>4.5910000000000002</v>
      </c>
      <c r="M830" s="26">
        <v>53.768999999999998</v>
      </c>
      <c r="N830" s="26">
        <v>36.993000000000002</v>
      </c>
      <c r="O830" s="26">
        <v>18.497</v>
      </c>
      <c r="P830" s="26">
        <v>1.665</v>
      </c>
      <c r="R830" s="26">
        <v>21.433</v>
      </c>
      <c r="S830" s="26">
        <v>110.089</v>
      </c>
      <c r="T830" s="26">
        <v>38.920999999999999</v>
      </c>
      <c r="AN830" s="26">
        <v>0.34599999999999997</v>
      </c>
    </row>
    <row r="831" spans="1:40" x14ac:dyDescent="0.25">
      <c r="A831" s="23" t="s">
        <v>141</v>
      </c>
      <c r="B831">
        <v>140</v>
      </c>
      <c r="C831">
        <v>40</v>
      </c>
      <c r="D831" s="26">
        <v>4.75</v>
      </c>
      <c r="G831" s="26">
        <v>15.616</v>
      </c>
      <c r="H831" s="25">
        <v>12.259</v>
      </c>
      <c r="I831" s="26">
        <v>321.767</v>
      </c>
      <c r="J831" s="26">
        <v>45.966999999999999</v>
      </c>
      <c r="K831" s="26">
        <v>4.5389999999999997</v>
      </c>
      <c r="M831" s="26">
        <v>62.154000000000003</v>
      </c>
      <c r="N831" s="26">
        <v>41.530999999999999</v>
      </c>
      <c r="O831" s="26">
        <v>20.765000000000001</v>
      </c>
      <c r="P831" s="26">
        <v>1.631</v>
      </c>
      <c r="R831" s="26">
        <v>24.571000000000002</v>
      </c>
      <c r="S831" s="26">
        <v>124.34099999999999</v>
      </c>
      <c r="T831" s="26">
        <v>44.878</v>
      </c>
      <c r="AN831" s="26">
        <v>0.34399999999999997</v>
      </c>
    </row>
    <row r="832" spans="1:40" x14ac:dyDescent="0.25">
      <c r="A832" s="23" t="s">
        <v>141</v>
      </c>
      <c r="B832">
        <v>140</v>
      </c>
      <c r="C832">
        <v>40</v>
      </c>
      <c r="D832" s="26">
        <v>6.35</v>
      </c>
      <c r="G832" s="26">
        <v>20.209</v>
      </c>
      <c r="H832" s="25">
        <v>15.864000000000001</v>
      </c>
      <c r="I832" s="26">
        <v>395.95800000000003</v>
      </c>
      <c r="J832" s="26">
        <v>56.564999999999998</v>
      </c>
      <c r="K832" s="26">
        <v>4.4260000000000002</v>
      </c>
      <c r="M832" s="26">
        <v>78.319000000000003</v>
      </c>
      <c r="N832" s="26">
        <v>49.067999999999998</v>
      </c>
      <c r="O832" s="26">
        <v>24.533999999999999</v>
      </c>
      <c r="P832" s="26">
        <v>1.5580000000000001</v>
      </c>
      <c r="R832" s="26">
        <v>30.402999999999999</v>
      </c>
      <c r="S832" s="26">
        <v>148.26499999999999</v>
      </c>
      <c r="T832" s="26">
        <v>56.127000000000002</v>
      </c>
      <c r="AN832" s="26">
        <v>0.33800000000000002</v>
      </c>
    </row>
    <row r="833" spans="1:40" x14ac:dyDescent="0.25">
      <c r="A833" s="23" t="s">
        <v>141</v>
      </c>
      <c r="B833">
        <v>70</v>
      </c>
      <c r="C833">
        <v>50</v>
      </c>
      <c r="D833" s="26">
        <v>2.5</v>
      </c>
      <c r="G833" s="26">
        <v>5.5890000000000004</v>
      </c>
      <c r="H833" s="25">
        <v>4.3869999999999996</v>
      </c>
      <c r="I833" s="26">
        <v>37.988</v>
      </c>
      <c r="J833" s="26">
        <v>10.853999999999999</v>
      </c>
      <c r="K833" s="26">
        <v>2.6070000000000002</v>
      </c>
      <c r="M833" s="26">
        <v>13.167</v>
      </c>
      <c r="N833" s="26">
        <v>22.571999999999999</v>
      </c>
      <c r="O833" s="26">
        <v>9.0289999999999999</v>
      </c>
      <c r="P833" s="26">
        <v>2.0099999999999998</v>
      </c>
      <c r="R833" s="26">
        <v>10.452999999999999</v>
      </c>
      <c r="S833" s="26">
        <v>44.36</v>
      </c>
      <c r="T833" s="26">
        <v>15.971</v>
      </c>
      <c r="AN833" s="26">
        <v>0.23100000000000001</v>
      </c>
    </row>
    <row r="834" spans="1:40" x14ac:dyDescent="0.25">
      <c r="A834" s="23" t="s">
        <v>141</v>
      </c>
      <c r="B834">
        <v>70</v>
      </c>
      <c r="C834">
        <v>50</v>
      </c>
      <c r="D834" s="26">
        <v>3.2</v>
      </c>
      <c r="G834" s="26">
        <v>7.0069999999999997</v>
      </c>
      <c r="H834" s="25">
        <v>5.5</v>
      </c>
      <c r="I834" s="26">
        <v>46.295000000000002</v>
      </c>
      <c r="J834" s="26">
        <v>13.227</v>
      </c>
      <c r="K834" s="26">
        <v>2.57</v>
      </c>
      <c r="M834" s="26">
        <v>16.260999999999999</v>
      </c>
      <c r="N834" s="26">
        <v>27.396000000000001</v>
      </c>
      <c r="O834" s="26">
        <v>10.958</v>
      </c>
      <c r="P834" s="26">
        <v>1.9770000000000001</v>
      </c>
      <c r="R834" s="26">
        <v>12.89</v>
      </c>
      <c r="S834" s="26">
        <v>54.366999999999997</v>
      </c>
      <c r="T834" s="26">
        <v>19.881</v>
      </c>
      <c r="AN834" s="26">
        <v>0.22900000000000001</v>
      </c>
    </row>
    <row r="835" spans="1:40" x14ac:dyDescent="0.25">
      <c r="A835" s="23" t="s">
        <v>141</v>
      </c>
      <c r="B835">
        <v>70</v>
      </c>
      <c r="C835">
        <v>50</v>
      </c>
      <c r="D835" s="26">
        <v>4</v>
      </c>
      <c r="G835" s="26">
        <v>8.548</v>
      </c>
      <c r="H835" s="25">
        <v>6.71</v>
      </c>
      <c r="I835" s="26">
        <v>54.642000000000003</v>
      </c>
      <c r="J835" s="26">
        <v>15.612</v>
      </c>
      <c r="K835" s="26">
        <v>2.528</v>
      </c>
      <c r="M835" s="26">
        <v>19.494</v>
      </c>
      <c r="N835" s="26">
        <v>32.186</v>
      </c>
      <c r="O835" s="26">
        <v>12.874000000000001</v>
      </c>
      <c r="P835" s="26">
        <v>1.94</v>
      </c>
      <c r="R835" s="26">
        <v>15.427</v>
      </c>
      <c r="S835" s="26">
        <v>64.504000000000005</v>
      </c>
      <c r="T835" s="26">
        <v>24.041</v>
      </c>
      <c r="AN835" s="26">
        <v>0.22600000000000001</v>
      </c>
    </row>
    <row r="836" spans="1:40" x14ac:dyDescent="0.25">
      <c r="A836" s="23" t="s">
        <v>141</v>
      </c>
      <c r="B836">
        <v>150</v>
      </c>
      <c r="C836">
        <v>50</v>
      </c>
      <c r="D836" s="26">
        <v>3.2</v>
      </c>
      <c r="G836" s="26">
        <v>12.127000000000001</v>
      </c>
      <c r="H836" s="25">
        <v>9.5190000000000001</v>
      </c>
      <c r="I836" s="26">
        <v>315.52800000000002</v>
      </c>
      <c r="J836" s="26">
        <v>42.07</v>
      </c>
      <c r="K836" s="26">
        <v>5.101</v>
      </c>
      <c r="M836" s="26">
        <v>54.526000000000003</v>
      </c>
      <c r="N836" s="26">
        <v>55.430999999999997</v>
      </c>
      <c r="O836" s="26">
        <v>22.172000000000001</v>
      </c>
      <c r="P836" s="26">
        <v>2.1379999999999999</v>
      </c>
      <c r="R836" s="26">
        <v>24.870999999999999</v>
      </c>
      <c r="S836" s="26">
        <v>155.136</v>
      </c>
      <c r="T836" s="26">
        <v>43.843000000000004</v>
      </c>
      <c r="AN836" s="26">
        <v>0.38900000000000001</v>
      </c>
    </row>
    <row r="837" spans="1:40" x14ac:dyDescent="0.25">
      <c r="A837" s="23" t="s">
        <v>141</v>
      </c>
      <c r="B837">
        <v>150</v>
      </c>
      <c r="C837">
        <v>50</v>
      </c>
      <c r="D837" s="26">
        <v>4</v>
      </c>
      <c r="G837" s="26">
        <v>14.948</v>
      </c>
      <c r="H837" s="25">
        <v>11.734</v>
      </c>
      <c r="I837" s="26">
        <v>381.07299999999998</v>
      </c>
      <c r="J837" s="26">
        <v>50.81</v>
      </c>
      <c r="K837" s="26">
        <v>5.0490000000000004</v>
      </c>
      <c r="M837" s="26">
        <v>66.483000000000004</v>
      </c>
      <c r="N837" s="26">
        <v>66.042000000000002</v>
      </c>
      <c r="O837" s="26">
        <v>26.417000000000002</v>
      </c>
      <c r="P837" s="26">
        <v>2.1019999999999999</v>
      </c>
      <c r="R837" s="26">
        <v>30.146999999999998</v>
      </c>
      <c r="S837" s="26">
        <v>186.21</v>
      </c>
      <c r="T837" s="26">
        <v>53.481000000000002</v>
      </c>
      <c r="AN837" s="26">
        <v>0.38600000000000001</v>
      </c>
    </row>
    <row r="838" spans="1:40" x14ac:dyDescent="0.25">
      <c r="A838" s="23" t="s">
        <v>141</v>
      </c>
      <c r="B838">
        <v>150</v>
      </c>
      <c r="C838">
        <v>50</v>
      </c>
      <c r="D838" s="26">
        <v>4.75</v>
      </c>
      <c r="G838" s="26">
        <v>17.515999999999998</v>
      </c>
      <c r="H838" s="25">
        <v>13.75</v>
      </c>
      <c r="I838" s="26">
        <v>437.916</v>
      </c>
      <c r="J838" s="26">
        <v>58.389000000000003</v>
      </c>
      <c r="K838" s="26">
        <v>5</v>
      </c>
      <c r="M838" s="26">
        <v>77.099000000000004</v>
      </c>
      <c r="N838" s="26">
        <v>74.92</v>
      </c>
      <c r="O838" s="26">
        <v>29.968</v>
      </c>
      <c r="P838" s="26">
        <v>2.0680000000000001</v>
      </c>
      <c r="R838" s="26">
        <v>34.765999999999998</v>
      </c>
      <c r="S838" s="26">
        <v>212.578</v>
      </c>
      <c r="T838" s="26">
        <v>62.024999999999999</v>
      </c>
      <c r="AN838" s="26">
        <v>0.38400000000000001</v>
      </c>
    </row>
    <row r="839" spans="1:40" x14ac:dyDescent="0.25">
      <c r="A839" s="23" t="s">
        <v>141</v>
      </c>
      <c r="B839">
        <v>150</v>
      </c>
      <c r="C839">
        <v>50</v>
      </c>
      <c r="D839" s="26">
        <v>6.35</v>
      </c>
      <c r="G839" s="26">
        <v>22.748999999999999</v>
      </c>
      <c r="H839" s="25">
        <v>17.858000000000001</v>
      </c>
      <c r="I839" s="26">
        <v>544.78399999999999</v>
      </c>
      <c r="J839" s="26">
        <v>72.638000000000005</v>
      </c>
      <c r="K839" s="26">
        <v>4.8940000000000001</v>
      </c>
      <c r="M839" s="26">
        <v>97.861999999999995</v>
      </c>
      <c r="N839" s="26">
        <v>90.631</v>
      </c>
      <c r="O839" s="26">
        <v>36.252000000000002</v>
      </c>
      <c r="P839" s="26">
        <v>1.996</v>
      </c>
      <c r="R839" s="26">
        <v>43.594999999999999</v>
      </c>
      <c r="S839" s="26">
        <v>260.00799999999998</v>
      </c>
      <c r="T839" s="26">
        <v>78.644000000000005</v>
      </c>
      <c r="AN839" s="26">
        <v>0.378</v>
      </c>
    </row>
    <row r="840" spans="1:40" x14ac:dyDescent="0.25">
      <c r="A840" s="23" t="s">
        <v>141</v>
      </c>
      <c r="B840">
        <v>80</v>
      </c>
      <c r="C840">
        <v>60</v>
      </c>
      <c r="D840" s="26">
        <v>2.5</v>
      </c>
      <c r="G840" s="26">
        <v>6.5890000000000004</v>
      </c>
      <c r="H840" s="25">
        <v>5.1719999999999997</v>
      </c>
      <c r="I840" s="26">
        <v>60.088000000000001</v>
      </c>
      <c r="J840" s="26">
        <v>15.022</v>
      </c>
      <c r="K840" s="26">
        <v>3.02</v>
      </c>
      <c r="M840" s="26">
        <v>18.024000000000001</v>
      </c>
      <c r="N840" s="26">
        <v>38.587000000000003</v>
      </c>
      <c r="O840" s="26">
        <v>12.862</v>
      </c>
      <c r="P840" s="26">
        <v>2.42</v>
      </c>
      <c r="R840" s="26">
        <v>14.81</v>
      </c>
      <c r="S840" s="26">
        <v>73.150999999999996</v>
      </c>
      <c r="T840" s="26">
        <v>22.221</v>
      </c>
      <c r="AN840" s="26">
        <v>0.27100000000000002</v>
      </c>
    </row>
    <row r="841" spans="1:40" x14ac:dyDescent="0.25">
      <c r="A841" s="23" t="s">
        <v>141</v>
      </c>
      <c r="B841">
        <v>80</v>
      </c>
      <c r="C841">
        <v>60</v>
      </c>
      <c r="D841" s="26">
        <v>3.2</v>
      </c>
      <c r="G841" s="26">
        <v>8.2870000000000008</v>
      </c>
      <c r="H841" s="25">
        <v>6.5049999999999999</v>
      </c>
      <c r="I841" s="26">
        <v>73.775999999999996</v>
      </c>
      <c r="J841" s="26">
        <v>18.443999999999999</v>
      </c>
      <c r="K841" s="26">
        <v>2.984</v>
      </c>
      <c r="M841" s="26">
        <v>22.382000000000001</v>
      </c>
      <c r="N841" s="26">
        <v>47.237000000000002</v>
      </c>
      <c r="O841" s="26">
        <v>15.746</v>
      </c>
      <c r="P841" s="26">
        <v>2.3879999999999999</v>
      </c>
      <c r="R841" s="26">
        <v>18.370999999999999</v>
      </c>
      <c r="S841" s="26">
        <v>90.332999999999998</v>
      </c>
      <c r="T841" s="26">
        <v>27.792000000000002</v>
      </c>
      <c r="AN841" s="26">
        <v>0.26900000000000002</v>
      </c>
    </row>
    <row r="842" spans="1:40" x14ac:dyDescent="0.25">
      <c r="A842" s="23" t="s">
        <v>141</v>
      </c>
      <c r="B842">
        <v>80</v>
      </c>
      <c r="C842">
        <v>60</v>
      </c>
      <c r="D842" s="26">
        <v>4</v>
      </c>
      <c r="G842" s="26">
        <v>10.148</v>
      </c>
      <c r="H842" s="25">
        <v>7.9660000000000002</v>
      </c>
      <c r="I842" s="26">
        <v>87.856999999999999</v>
      </c>
      <c r="J842" s="26">
        <v>21.963999999999999</v>
      </c>
      <c r="K842" s="26">
        <v>2.9420000000000002</v>
      </c>
      <c r="M842" s="26">
        <v>27.007000000000001</v>
      </c>
      <c r="N842" s="26">
        <v>56.063000000000002</v>
      </c>
      <c r="O842" s="26">
        <v>18.687999999999999</v>
      </c>
      <c r="P842" s="26">
        <v>2.35</v>
      </c>
      <c r="R842" s="26">
        <v>22.14</v>
      </c>
      <c r="S842" s="26">
        <v>108.19</v>
      </c>
      <c r="T842" s="26">
        <v>33.801000000000002</v>
      </c>
      <c r="AN842" s="26">
        <v>0.26600000000000001</v>
      </c>
    </row>
    <row r="843" spans="1:40" x14ac:dyDescent="0.25">
      <c r="A843" s="23" t="s">
        <v>141</v>
      </c>
      <c r="B843">
        <v>100</v>
      </c>
      <c r="C843">
        <v>60</v>
      </c>
      <c r="D843" s="26">
        <v>3.2</v>
      </c>
      <c r="G843" s="26">
        <v>9.5670000000000002</v>
      </c>
      <c r="H843" s="25">
        <v>7.51</v>
      </c>
      <c r="I843" s="26">
        <v>127.199</v>
      </c>
      <c r="J843" s="26">
        <v>25.44</v>
      </c>
      <c r="K843" s="26">
        <v>3.6459999999999999</v>
      </c>
      <c r="M843" s="26">
        <v>31.308</v>
      </c>
      <c r="N843" s="26">
        <v>57.561</v>
      </c>
      <c r="O843" s="26">
        <v>19.187000000000001</v>
      </c>
      <c r="P843" s="26">
        <v>2.4529999999999998</v>
      </c>
      <c r="R843" s="26">
        <v>22.006</v>
      </c>
      <c r="S843" s="26">
        <v>125.056</v>
      </c>
      <c r="T843" s="26">
        <v>35.061999999999998</v>
      </c>
      <c r="AN843" s="26">
        <v>0.309</v>
      </c>
    </row>
    <row r="844" spans="1:40" x14ac:dyDescent="0.25">
      <c r="A844" s="23" t="s">
        <v>141</v>
      </c>
      <c r="B844">
        <v>100</v>
      </c>
      <c r="C844">
        <v>60</v>
      </c>
      <c r="D844" s="26">
        <v>4</v>
      </c>
      <c r="G844" s="26">
        <v>11.747999999999999</v>
      </c>
      <c r="H844" s="25">
        <v>9.2219999999999995</v>
      </c>
      <c r="I844" s="26">
        <v>152.47</v>
      </c>
      <c r="J844" s="26">
        <v>30.494</v>
      </c>
      <c r="K844" s="26">
        <v>3.6030000000000002</v>
      </c>
      <c r="M844" s="26">
        <v>37.954999999999998</v>
      </c>
      <c r="N844" s="26">
        <v>68.606999999999999</v>
      </c>
      <c r="O844" s="26">
        <v>22.869</v>
      </c>
      <c r="P844" s="26">
        <v>2.4169999999999998</v>
      </c>
      <c r="R844" s="26">
        <v>26.62</v>
      </c>
      <c r="S844" s="26">
        <v>150.36799999999999</v>
      </c>
      <c r="T844" s="26">
        <v>42.761000000000003</v>
      </c>
      <c r="AN844" s="26">
        <v>0.30599999999999999</v>
      </c>
    </row>
    <row r="845" spans="1:40" x14ac:dyDescent="0.25">
      <c r="A845" s="23" t="s">
        <v>141</v>
      </c>
      <c r="B845">
        <v>100</v>
      </c>
      <c r="C845">
        <v>60</v>
      </c>
      <c r="D845" s="26">
        <v>4.75</v>
      </c>
      <c r="G845" s="26">
        <v>13.715999999999999</v>
      </c>
      <c r="H845" s="25">
        <v>10.766999999999999</v>
      </c>
      <c r="I845" s="26">
        <v>173.952</v>
      </c>
      <c r="J845" s="26">
        <v>34.79</v>
      </c>
      <c r="K845" s="26">
        <v>3.5609999999999999</v>
      </c>
      <c r="M845" s="26">
        <v>43.771999999999998</v>
      </c>
      <c r="N845" s="26">
        <v>77.861000000000004</v>
      </c>
      <c r="O845" s="26">
        <v>25.954000000000001</v>
      </c>
      <c r="P845" s="26">
        <v>2.383</v>
      </c>
      <c r="R845" s="26">
        <v>30.638999999999999</v>
      </c>
      <c r="S845" s="26">
        <v>171.93199999999999</v>
      </c>
      <c r="T845" s="26">
        <v>49.58</v>
      </c>
      <c r="AN845" s="26">
        <v>0.30399999999999999</v>
      </c>
    </row>
    <row r="846" spans="1:40" x14ac:dyDescent="0.25">
      <c r="A846" s="23" t="s">
        <v>141</v>
      </c>
      <c r="B846">
        <v>120</v>
      </c>
      <c r="C846">
        <v>60</v>
      </c>
      <c r="D846" s="26">
        <v>3.2</v>
      </c>
      <c r="G846" s="26">
        <v>10.847</v>
      </c>
      <c r="H846" s="25">
        <v>8.5150000000000006</v>
      </c>
      <c r="I846" s="26">
        <v>199.74299999999999</v>
      </c>
      <c r="J846" s="26">
        <v>33.29</v>
      </c>
      <c r="K846" s="26">
        <v>4.2910000000000004</v>
      </c>
      <c r="M846" s="26">
        <v>41.514000000000003</v>
      </c>
      <c r="N846" s="26">
        <v>67.885000000000005</v>
      </c>
      <c r="O846" s="26">
        <v>22.628</v>
      </c>
      <c r="P846" s="26">
        <v>2.5019999999999998</v>
      </c>
      <c r="R846" s="26">
        <v>25.640999999999998</v>
      </c>
      <c r="S846" s="26">
        <v>161.29400000000001</v>
      </c>
      <c r="T846" s="26">
        <v>42.332999999999998</v>
      </c>
      <c r="AN846" s="26">
        <v>0.34899999999999998</v>
      </c>
    </row>
    <row r="847" spans="1:40" x14ac:dyDescent="0.25">
      <c r="A847" s="23" t="s">
        <v>141</v>
      </c>
      <c r="B847">
        <v>120</v>
      </c>
      <c r="C847">
        <v>60</v>
      </c>
      <c r="D847" s="26">
        <v>4</v>
      </c>
      <c r="G847" s="26">
        <v>13.348000000000001</v>
      </c>
      <c r="H847" s="25">
        <v>10.478</v>
      </c>
      <c r="I847" s="26">
        <v>240.55699999999999</v>
      </c>
      <c r="J847" s="26">
        <v>40.093000000000004</v>
      </c>
      <c r="K847" s="26">
        <v>4.2450000000000001</v>
      </c>
      <c r="M847" s="26">
        <v>50.502000000000002</v>
      </c>
      <c r="N847" s="26">
        <v>81.150999999999996</v>
      </c>
      <c r="O847" s="26">
        <v>27.05</v>
      </c>
      <c r="P847" s="26">
        <v>2.4660000000000002</v>
      </c>
      <c r="R847" s="26">
        <v>31.1</v>
      </c>
      <c r="S847" s="26">
        <v>194.40600000000001</v>
      </c>
      <c r="T847" s="26">
        <v>51.720999999999997</v>
      </c>
      <c r="AN847" s="26">
        <v>0.34599999999999997</v>
      </c>
    </row>
    <row r="848" spans="1:40" x14ac:dyDescent="0.25">
      <c r="A848" s="23" t="s">
        <v>141</v>
      </c>
      <c r="B848">
        <v>120</v>
      </c>
      <c r="C848">
        <v>60</v>
      </c>
      <c r="D848" s="26">
        <v>4.75</v>
      </c>
      <c r="G848" s="26">
        <v>15.616</v>
      </c>
      <c r="H848" s="25">
        <v>12.259</v>
      </c>
      <c r="I848" s="26">
        <v>275.702</v>
      </c>
      <c r="J848" s="26">
        <v>45.95</v>
      </c>
      <c r="K848" s="26">
        <v>4.202</v>
      </c>
      <c r="M848" s="26">
        <v>58.438000000000002</v>
      </c>
      <c r="N848" s="26">
        <v>92.36</v>
      </c>
      <c r="O848" s="26">
        <v>30.786999999999999</v>
      </c>
      <c r="P848" s="26">
        <v>2.4319999999999999</v>
      </c>
      <c r="R848" s="26">
        <v>35.887999999999998</v>
      </c>
      <c r="S848" s="26">
        <v>222.833</v>
      </c>
      <c r="T848" s="26">
        <v>60.078000000000003</v>
      </c>
      <c r="AN848" s="26">
        <v>0.34399999999999997</v>
      </c>
    </row>
    <row r="849" spans="1:40" x14ac:dyDescent="0.25">
      <c r="A849" s="23" t="s">
        <v>141</v>
      </c>
      <c r="B849">
        <v>120</v>
      </c>
      <c r="C849">
        <v>60</v>
      </c>
      <c r="D849" s="26">
        <v>6.35</v>
      </c>
      <c r="G849" s="26">
        <v>20.209</v>
      </c>
      <c r="H849" s="25">
        <v>15.864000000000001</v>
      </c>
      <c r="I849" s="26">
        <v>340.99799999999999</v>
      </c>
      <c r="J849" s="26">
        <v>56.832999999999998</v>
      </c>
      <c r="K849" s="26">
        <v>4.1079999999999997</v>
      </c>
      <c r="M849" s="26">
        <v>73.816000000000003</v>
      </c>
      <c r="N849" s="26">
        <v>112.544</v>
      </c>
      <c r="O849" s="26">
        <v>37.515000000000001</v>
      </c>
      <c r="P849" s="26">
        <v>2.36</v>
      </c>
      <c r="R849" s="26">
        <v>45.066000000000003</v>
      </c>
      <c r="S849" s="26">
        <v>275.053</v>
      </c>
      <c r="T849" s="26">
        <v>76.447000000000003</v>
      </c>
      <c r="AN849" s="26">
        <v>0.33800000000000002</v>
      </c>
    </row>
    <row r="850" spans="1:40" x14ac:dyDescent="0.25">
      <c r="A850" s="23" t="s">
        <v>141</v>
      </c>
      <c r="B850">
        <v>150</v>
      </c>
      <c r="C850">
        <v>70</v>
      </c>
      <c r="D850" s="26">
        <v>3.2</v>
      </c>
      <c r="G850" s="26">
        <v>13.407</v>
      </c>
      <c r="H850" s="25">
        <v>10.523999999999999</v>
      </c>
      <c r="I850" s="26">
        <v>384.488</v>
      </c>
      <c r="J850" s="26">
        <v>51.265000000000001</v>
      </c>
      <c r="K850" s="26">
        <v>5.3550000000000004</v>
      </c>
      <c r="M850" s="26">
        <v>63.920999999999999</v>
      </c>
      <c r="N850" s="26">
        <v>117.691</v>
      </c>
      <c r="O850" s="26">
        <v>33.625999999999998</v>
      </c>
      <c r="P850" s="26">
        <v>2.9630000000000001</v>
      </c>
      <c r="R850" s="26">
        <v>37.637</v>
      </c>
      <c r="S850" s="26">
        <v>286.96499999999997</v>
      </c>
      <c r="T850" s="26">
        <v>62.633000000000003</v>
      </c>
      <c r="AN850" s="26">
        <v>0.42899999999999999</v>
      </c>
    </row>
    <row r="851" spans="1:40" x14ac:dyDescent="0.25">
      <c r="A851" s="23" t="s">
        <v>141</v>
      </c>
      <c r="B851">
        <v>150</v>
      </c>
      <c r="C851">
        <v>70</v>
      </c>
      <c r="D851" s="26">
        <v>4</v>
      </c>
      <c r="G851" s="26">
        <v>16.547999999999998</v>
      </c>
      <c r="H851" s="25">
        <v>12.99</v>
      </c>
      <c r="I851" s="26">
        <v>466.33699999999999</v>
      </c>
      <c r="J851" s="26">
        <v>62.177999999999997</v>
      </c>
      <c r="K851" s="26">
        <v>5.3090000000000002</v>
      </c>
      <c r="M851" s="26">
        <v>78.162999999999997</v>
      </c>
      <c r="N851" s="26">
        <v>141.762</v>
      </c>
      <c r="O851" s="26">
        <v>40.503</v>
      </c>
      <c r="P851" s="26">
        <v>2.927</v>
      </c>
      <c r="R851" s="26">
        <v>45.893999999999998</v>
      </c>
      <c r="S851" s="26">
        <v>348.142</v>
      </c>
      <c r="T851" s="26">
        <v>76.840999999999994</v>
      </c>
      <c r="AN851" s="26">
        <v>0.42599999999999999</v>
      </c>
    </row>
    <row r="852" spans="1:40" x14ac:dyDescent="0.25">
      <c r="A852" s="23" t="s">
        <v>141</v>
      </c>
      <c r="B852">
        <v>150</v>
      </c>
      <c r="C852">
        <v>70</v>
      </c>
      <c r="D852" s="26">
        <v>4.75</v>
      </c>
      <c r="G852" s="26">
        <v>19.416</v>
      </c>
      <c r="H852" s="25">
        <v>15.242000000000001</v>
      </c>
      <c r="I852" s="26">
        <v>538.12900000000002</v>
      </c>
      <c r="J852" s="26">
        <v>71.751000000000005</v>
      </c>
      <c r="K852" s="26">
        <v>5.2649999999999997</v>
      </c>
      <c r="M852" s="26">
        <v>90.897999999999996</v>
      </c>
      <c r="N852" s="26">
        <v>162.52600000000001</v>
      </c>
      <c r="O852" s="26">
        <v>46.436</v>
      </c>
      <c r="P852" s="26">
        <v>2.8929999999999998</v>
      </c>
      <c r="R852" s="26">
        <v>53.231000000000002</v>
      </c>
      <c r="S852" s="26">
        <v>401.66199999999998</v>
      </c>
      <c r="T852" s="26">
        <v>89.623000000000005</v>
      </c>
      <c r="AN852" s="26">
        <v>0.42399999999999999</v>
      </c>
    </row>
    <row r="853" spans="1:40" x14ac:dyDescent="0.25">
      <c r="A853" s="23" t="s">
        <v>141</v>
      </c>
      <c r="B853">
        <v>150</v>
      </c>
      <c r="C853">
        <v>70</v>
      </c>
      <c r="D853" s="26">
        <v>6.35</v>
      </c>
      <c r="G853" s="26">
        <v>25.289000000000001</v>
      </c>
      <c r="H853" s="25">
        <v>19.852</v>
      </c>
      <c r="I853" s="26">
        <v>675.81799999999998</v>
      </c>
      <c r="J853" s="26">
        <v>90.108999999999995</v>
      </c>
      <c r="K853" s="26">
        <v>5.17</v>
      </c>
      <c r="M853" s="26">
        <v>116.105</v>
      </c>
      <c r="N853" s="26">
        <v>201.285</v>
      </c>
      <c r="O853" s="26">
        <v>57.51</v>
      </c>
      <c r="P853" s="26">
        <v>2.8210000000000002</v>
      </c>
      <c r="R853" s="26">
        <v>67.611999999999995</v>
      </c>
      <c r="S853" s="26">
        <v>503.47800000000001</v>
      </c>
      <c r="T853" s="26">
        <v>115.131</v>
      </c>
      <c r="AN853" s="26">
        <v>0.41799999999999998</v>
      </c>
    </row>
    <row r="854" spans="1:40" x14ac:dyDescent="0.25">
      <c r="A854" s="23" t="s">
        <v>141</v>
      </c>
      <c r="B854">
        <v>100</v>
      </c>
      <c r="C854">
        <v>80</v>
      </c>
      <c r="D854" s="26">
        <v>4</v>
      </c>
      <c r="G854" s="26">
        <v>13.348000000000001</v>
      </c>
      <c r="H854" s="25">
        <v>10.478</v>
      </c>
      <c r="I854" s="26">
        <v>189.334</v>
      </c>
      <c r="J854" s="26">
        <v>37.866999999999997</v>
      </c>
      <c r="K854" s="26">
        <v>3.766</v>
      </c>
      <c r="M854" s="26">
        <v>45.634999999999998</v>
      </c>
      <c r="N854" s="26">
        <v>134.065</v>
      </c>
      <c r="O854" s="26">
        <v>33.515999999999998</v>
      </c>
      <c r="P854" s="26">
        <v>3.169</v>
      </c>
      <c r="R854" s="26">
        <v>39.167000000000002</v>
      </c>
      <c r="S854" s="26">
        <v>245.495</v>
      </c>
      <c r="T854" s="26">
        <v>58.121000000000002</v>
      </c>
      <c r="AN854" s="26">
        <v>0.34599999999999997</v>
      </c>
    </row>
    <row r="855" spans="1:40" x14ac:dyDescent="0.25">
      <c r="A855" s="23" t="s">
        <v>141</v>
      </c>
      <c r="B855">
        <v>100</v>
      </c>
      <c r="C855">
        <v>80</v>
      </c>
      <c r="D855" s="26">
        <v>4.75</v>
      </c>
      <c r="G855" s="26">
        <v>15.616</v>
      </c>
      <c r="H855" s="25">
        <v>12.259</v>
      </c>
      <c r="I855" s="26">
        <v>217.04599999999999</v>
      </c>
      <c r="J855" s="26">
        <v>43.408999999999999</v>
      </c>
      <c r="K855" s="26">
        <v>3.7280000000000002</v>
      </c>
      <c r="M855" s="26">
        <v>52.820999999999998</v>
      </c>
      <c r="N855" s="26">
        <v>153.399</v>
      </c>
      <c r="O855" s="26">
        <v>38.35</v>
      </c>
      <c r="P855" s="26">
        <v>3.1339999999999999</v>
      </c>
      <c r="R855" s="26">
        <v>45.304000000000002</v>
      </c>
      <c r="S855" s="26">
        <v>282.77699999999999</v>
      </c>
      <c r="T855" s="26">
        <v>67.677999999999997</v>
      </c>
      <c r="AN855" s="26">
        <v>0.34399999999999997</v>
      </c>
    </row>
    <row r="856" spans="1:40" x14ac:dyDescent="0.25">
      <c r="A856" s="23" t="s">
        <v>141</v>
      </c>
      <c r="B856">
        <v>100</v>
      </c>
      <c r="C856">
        <v>80</v>
      </c>
      <c r="D856" s="26">
        <v>6.35</v>
      </c>
      <c r="G856" s="26">
        <v>20.209</v>
      </c>
      <c r="H856" s="25">
        <v>15.864000000000001</v>
      </c>
      <c r="I856" s="26">
        <v>268.66899999999998</v>
      </c>
      <c r="J856" s="26">
        <v>53.734000000000002</v>
      </c>
      <c r="K856" s="26">
        <v>3.6459999999999999</v>
      </c>
      <c r="M856" s="26">
        <v>66.772000000000006</v>
      </c>
      <c r="N856" s="26">
        <v>189.131</v>
      </c>
      <c r="O856" s="26">
        <v>47.283000000000001</v>
      </c>
      <c r="P856" s="26">
        <v>3.0590000000000002</v>
      </c>
      <c r="R856" s="26">
        <v>57.189</v>
      </c>
      <c r="S856" s="26">
        <v>353.02300000000002</v>
      </c>
      <c r="T856" s="26">
        <v>86.606999999999999</v>
      </c>
      <c r="AN856" s="26">
        <v>0.33800000000000002</v>
      </c>
    </row>
    <row r="857" spans="1:40" x14ac:dyDescent="0.25">
      <c r="A857" s="23" t="s">
        <v>141</v>
      </c>
      <c r="B857">
        <v>120</v>
      </c>
      <c r="C857">
        <v>80</v>
      </c>
      <c r="D857" s="26">
        <v>4</v>
      </c>
      <c r="G857" s="26">
        <v>14.948</v>
      </c>
      <c r="H857" s="25">
        <v>11.734</v>
      </c>
      <c r="I857" s="26">
        <v>294.38099999999997</v>
      </c>
      <c r="J857" s="26">
        <v>49.064</v>
      </c>
      <c r="K857" s="26">
        <v>4.4379999999999997</v>
      </c>
      <c r="M857" s="26">
        <v>59.781999999999996</v>
      </c>
      <c r="N857" s="26">
        <v>157.16900000000001</v>
      </c>
      <c r="O857" s="26">
        <v>39.292000000000002</v>
      </c>
      <c r="P857" s="26">
        <v>3.2429999999999999</v>
      </c>
      <c r="R857" s="26">
        <v>45.247</v>
      </c>
      <c r="S857" s="26">
        <v>321.57400000000001</v>
      </c>
      <c r="T857" s="26">
        <v>70.281000000000006</v>
      </c>
      <c r="AN857" s="26">
        <v>0.38600000000000001</v>
      </c>
    </row>
    <row r="858" spans="1:40" x14ac:dyDescent="0.25">
      <c r="A858" s="23" t="s">
        <v>141</v>
      </c>
      <c r="B858">
        <v>120</v>
      </c>
      <c r="C858">
        <v>80</v>
      </c>
      <c r="D858" s="26">
        <v>4.75</v>
      </c>
      <c r="G858" s="26">
        <v>17.515999999999998</v>
      </c>
      <c r="H858" s="25">
        <v>13.75</v>
      </c>
      <c r="I858" s="26">
        <v>338.79399999999998</v>
      </c>
      <c r="J858" s="26">
        <v>56.466000000000001</v>
      </c>
      <c r="K858" s="26">
        <v>4.3979999999999997</v>
      </c>
      <c r="M858" s="26">
        <v>69.385999999999996</v>
      </c>
      <c r="N858" s="26">
        <v>180.29599999999999</v>
      </c>
      <c r="O858" s="26">
        <v>45.073999999999998</v>
      </c>
      <c r="P858" s="26">
        <v>3.2080000000000002</v>
      </c>
      <c r="R858" s="26">
        <v>52.453000000000003</v>
      </c>
      <c r="S858" s="26">
        <v>371.31900000000002</v>
      </c>
      <c r="T858" s="26">
        <v>81.974999999999994</v>
      </c>
      <c r="AN858" s="26">
        <v>0.38400000000000001</v>
      </c>
    </row>
    <row r="859" spans="1:40" x14ac:dyDescent="0.25">
      <c r="A859" s="23" t="s">
        <v>141</v>
      </c>
      <c r="B859">
        <v>120</v>
      </c>
      <c r="C859">
        <v>80</v>
      </c>
      <c r="D859" s="26">
        <v>6.35</v>
      </c>
      <c r="G859" s="26">
        <v>22.748999999999999</v>
      </c>
      <c r="H859" s="25">
        <v>17.858000000000001</v>
      </c>
      <c r="I859" s="26">
        <v>423.017</v>
      </c>
      <c r="J859" s="26">
        <v>70.503</v>
      </c>
      <c r="K859" s="26">
        <v>4.3120000000000003</v>
      </c>
      <c r="M859" s="26">
        <v>88.248999999999995</v>
      </c>
      <c r="N859" s="26">
        <v>223.57499999999999</v>
      </c>
      <c r="O859" s="26">
        <v>55.893999999999998</v>
      </c>
      <c r="P859" s="26">
        <v>3.1349999999999998</v>
      </c>
      <c r="R859" s="26">
        <v>66.543000000000006</v>
      </c>
      <c r="S859" s="26">
        <v>466.26</v>
      </c>
      <c r="T859" s="26">
        <v>105.31399999999999</v>
      </c>
      <c r="AN859" s="26">
        <v>0.378</v>
      </c>
    </row>
    <row r="860" spans="1:40" x14ac:dyDescent="0.25">
      <c r="A860" s="23" t="s">
        <v>141</v>
      </c>
      <c r="B860">
        <v>140</v>
      </c>
      <c r="C860">
        <v>80</v>
      </c>
      <c r="D860" s="26">
        <v>4</v>
      </c>
      <c r="G860" s="26">
        <v>16.547999999999998</v>
      </c>
      <c r="H860" s="25">
        <v>12.99</v>
      </c>
      <c r="I860" s="26">
        <v>429.30399999999997</v>
      </c>
      <c r="J860" s="26">
        <v>61.329000000000001</v>
      </c>
      <c r="K860" s="26">
        <v>5.093</v>
      </c>
      <c r="M860" s="26">
        <v>75.528999999999996</v>
      </c>
      <c r="N860" s="26">
        <v>180.273</v>
      </c>
      <c r="O860" s="26">
        <v>45.067999999999998</v>
      </c>
      <c r="P860" s="26">
        <v>3.3010000000000002</v>
      </c>
      <c r="R860" s="26">
        <v>51.326999999999998</v>
      </c>
      <c r="S860" s="26">
        <v>400.73500000000001</v>
      </c>
      <c r="T860" s="26">
        <v>82.441000000000003</v>
      </c>
      <c r="AN860" s="26">
        <v>0.42599999999999999</v>
      </c>
    </row>
    <row r="861" spans="1:40" x14ac:dyDescent="0.25">
      <c r="A861" s="23" t="s">
        <v>141</v>
      </c>
      <c r="B861">
        <v>140</v>
      </c>
      <c r="C861">
        <v>80</v>
      </c>
      <c r="D861" s="26">
        <v>4.75</v>
      </c>
      <c r="G861" s="26">
        <v>19.416</v>
      </c>
      <c r="H861" s="25">
        <v>15.242000000000001</v>
      </c>
      <c r="I861" s="26">
        <v>495.54599999999999</v>
      </c>
      <c r="J861" s="26">
        <v>70.792000000000002</v>
      </c>
      <c r="K861" s="26">
        <v>5.0519999999999996</v>
      </c>
      <c r="M861" s="26">
        <v>87.852000000000004</v>
      </c>
      <c r="N861" s="26">
        <v>207.19300000000001</v>
      </c>
      <c r="O861" s="26">
        <v>51.798000000000002</v>
      </c>
      <c r="P861" s="26">
        <v>3.2669999999999999</v>
      </c>
      <c r="R861" s="26">
        <v>59.601999999999997</v>
      </c>
      <c r="S861" s="26">
        <v>463.48</v>
      </c>
      <c r="T861" s="26">
        <v>96.272999999999996</v>
      </c>
      <c r="AN861" s="26">
        <v>0.42399999999999999</v>
      </c>
    </row>
    <row r="862" spans="1:40" x14ac:dyDescent="0.25">
      <c r="A862" s="23" t="s">
        <v>141</v>
      </c>
      <c r="B862">
        <v>140</v>
      </c>
      <c r="C862">
        <v>80</v>
      </c>
      <c r="D862" s="26">
        <v>6.35</v>
      </c>
      <c r="G862" s="26">
        <v>25.289000000000001</v>
      </c>
      <c r="H862" s="25">
        <v>19.852</v>
      </c>
      <c r="I862" s="26">
        <v>622.80899999999997</v>
      </c>
      <c r="J862" s="26">
        <v>88.972999999999999</v>
      </c>
      <c r="K862" s="26">
        <v>4.9630000000000001</v>
      </c>
      <c r="M862" s="26">
        <v>112.26600000000001</v>
      </c>
      <c r="N862" s="26">
        <v>258.02</v>
      </c>
      <c r="O862" s="26">
        <v>64.504999999999995</v>
      </c>
      <c r="P862" s="26">
        <v>3.194</v>
      </c>
      <c r="R862" s="26">
        <v>75.896000000000001</v>
      </c>
      <c r="S862" s="26">
        <v>584.23299999999995</v>
      </c>
      <c r="T862" s="26">
        <v>124.021</v>
      </c>
      <c r="AN862" s="26">
        <v>0.41799999999999998</v>
      </c>
    </row>
    <row r="863" spans="1:40" x14ac:dyDescent="0.25">
      <c r="A863" s="23" t="s">
        <v>141</v>
      </c>
      <c r="B863">
        <v>140</v>
      </c>
      <c r="C863">
        <v>100</v>
      </c>
      <c r="D863" s="26">
        <v>3.2</v>
      </c>
      <c r="G863" s="26">
        <v>14.686999999999999</v>
      </c>
      <c r="H863" s="25">
        <v>11.529</v>
      </c>
      <c r="I863" s="26">
        <v>413.74</v>
      </c>
      <c r="J863" s="26">
        <v>59.11</v>
      </c>
      <c r="K863" s="26">
        <v>5.31</v>
      </c>
      <c r="M863" s="26">
        <v>70.510000000000005</v>
      </c>
      <c r="N863" s="26">
        <v>247.14</v>
      </c>
      <c r="O863" s="26">
        <v>49.43</v>
      </c>
      <c r="P863" s="26">
        <v>4.0999999999999996</v>
      </c>
      <c r="R863" s="26">
        <v>56.09</v>
      </c>
      <c r="S863" s="26">
        <v>479</v>
      </c>
      <c r="T863" s="26">
        <v>84.62</v>
      </c>
      <c r="AN863" s="26">
        <v>0.46899999999999997</v>
      </c>
    </row>
    <row r="864" spans="1:40" x14ac:dyDescent="0.25">
      <c r="A864" s="23" t="s">
        <v>141</v>
      </c>
      <c r="B864">
        <v>140</v>
      </c>
      <c r="C864">
        <v>100</v>
      </c>
      <c r="D864" s="26">
        <v>4</v>
      </c>
      <c r="G864" s="26">
        <v>18.148</v>
      </c>
      <c r="H864" s="25">
        <v>14.246</v>
      </c>
      <c r="I864" s="26">
        <v>503.29</v>
      </c>
      <c r="J864" s="26">
        <v>71.900000000000006</v>
      </c>
      <c r="K864" s="26">
        <v>5.27</v>
      </c>
      <c r="M864" s="26">
        <v>86.41</v>
      </c>
      <c r="N864" s="26">
        <v>299.93</v>
      </c>
      <c r="O864" s="26">
        <v>59.99</v>
      </c>
      <c r="P864" s="26">
        <v>4.07</v>
      </c>
      <c r="R864" s="26">
        <v>68.67</v>
      </c>
      <c r="S864" s="26">
        <v>585.01</v>
      </c>
      <c r="T864" s="26">
        <v>104.2</v>
      </c>
      <c r="AN864" s="26">
        <v>0.46600000000000003</v>
      </c>
    </row>
    <row r="865" spans="1:40" x14ac:dyDescent="0.25">
      <c r="A865" s="23" t="s">
        <v>141</v>
      </c>
      <c r="B865">
        <v>140</v>
      </c>
      <c r="C865">
        <v>100</v>
      </c>
      <c r="D865" s="26">
        <v>4.75</v>
      </c>
      <c r="G865" s="26">
        <v>21.315999999999999</v>
      </c>
      <c r="H865" s="25">
        <v>16.733000000000001</v>
      </c>
      <c r="I865" s="26">
        <v>582.44000000000005</v>
      </c>
      <c r="J865" s="26">
        <v>83.21</v>
      </c>
      <c r="K865" s="26">
        <v>5.23</v>
      </c>
      <c r="M865" s="26">
        <v>100.7</v>
      </c>
      <c r="N865" s="26">
        <v>346.33</v>
      </c>
      <c r="O865" s="26">
        <v>69.27</v>
      </c>
      <c r="P865" s="26">
        <v>4.03</v>
      </c>
      <c r="R865" s="26">
        <v>79.97</v>
      </c>
      <c r="S865" s="26">
        <v>679.38</v>
      </c>
      <c r="T865" s="26">
        <v>121.97</v>
      </c>
      <c r="AN865" s="26">
        <v>0.46400000000000002</v>
      </c>
    </row>
    <row r="866" spans="1:40" x14ac:dyDescent="0.25">
      <c r="A866" s="23" t="s">
        <v>141</v>
      </c>
      <c r="B866">
        <v>140</v>
      </c>
      <c r="C866">
        <v>100</v>
      </c>
      <c r="D866" s="26">
        <v>6.35</v>
      </c>
      <c r="G866" s="26">
        <v>27.829000000000001</v>
      </c>
      <c r="H866" s="25">
        <v>21.846</v>
      </c>
      <c r="I866" s="26">
        <v>736.24</v>
      </c>
      <c r="J866" s="26">
        <v>105.18</v>
      </c>
      <c r="K866" s="26">
        <v>5.14</v>
      </c>
      <c r="M866" s="26">
        <v>129.24</v>
      </c>
      <c r="N866" s="26">
        <v>435.74</v>
      </c>
      <c r="O866" s="26">
        <v>87.15</v>
      </c>
      <c r="P866" s="26">
        <v>3.96</v>
      </c>
      <c r="R866" s="26">
        <v>102.45</v>
      </c>
      <c r="S866" s="26">
        <v>864.44</v>
      </c>
      <c r="T866" s="26">
        <v>157.97</v>
      </c>
      <c r="AN866" s="26">
        <v>0.45800000000000002</v>
      </c>
    </row>
    <row r="867" spans="1:40" x14ac:dyDescent="0.25">
      <c r="A867" s="23" t="s">
        <v>141</v>
      </c>
      <c r="B867">
        <v>180</v>
      </c>
      <c r="C867">
        <v>100</v>
      </c>
      <c r="D867" s="26">
        <v>3.2</v>
      </c>
      <c r="G867" s="26">
        <v>17.247</v>
      </c>
      <c r="H867" s="25">
        <v>13.539</v>
      </c>
      <c r="I867" s="26">
        <v>757.75</v>
      </c>
      <c r="J867" s="26">
        <v>84.19</v>
      </c>
      <c r="K867" s="26">
        <v>6.63</v>
      </c>
      <c r="M867" s="26">
        <v>102.44</v>
      </c>
      <c r="N867" s="26">
        <v>307.11</v>
      </c>
      <c r="O867" s="26">
        <v>61.42</v>
      </c>
      <c r="P867" s="26">
        <v>4.22</v>
      </c>
      <c r="R867" s="26">
        <v>68.48</v>
      </c>
      <c r="S867" s="26">
        <v>683.56</v>
      </c>
      <c r="T867" s="26">
        <v>109.4</v>
      </c>
      <c r="AN867" s="26">
        <v>0.54900000000000004</v>
      </c>
    </row>
    <row r="868" spans="1:40" x14ac:dyDescent="0.25">
      <c r="A868" s="23" t="s">
        <v>141</v>
      </c>
      <c r="B868">
        <v>180</v>
      </c>
      <c r="C868">
        <v>100</v>
      </c>
      <c r="D868" s="26">
        <v>4</v>
      </c>
      <c r="G868" s="26">
        <v>21.347999999999999</v>
      </c>
      <c r="H868" s="25">
        <v>16.757999999999999</v>
      </c>
      <c r="I868" s="26">
        <v>925.48</v>
      </c>
      <c r="J868" s="26">
        <v>102.83</v>
      </c>
      <c r="K868" s="26">
        <v>6.58</v>
      </c>
      <c r="M868" s="26">
        <v>125.9</v>
      </c>
      <c r="N868" s="26">
        <v>373.65</v>
      </c>
      <c r="O868" s="26">
        <v>74.73</v>
      </c>
      <c r="P868" s="26">
        <v>4.18</v>
      </c>
      <c r="R868" s="26">
        <v>84.03</v>
      </c>
      <c r="S868" s="26">
        <v>836.56</v>
      </c>
      <c r="T868" s="26">
        <v>134.91999999999999</v>
      </c>
      <c r="AN868" s="26">
        <v>0.54600000000000004</v>
      </c>
    </row>
    <row r="869" spans="1:40" x14ac:dyDescent="0.25">
      <c r="A869" s="23" t="s">
        <v>141</v>
      </c>
      <c r="B869">
        <v>180</v>
      </c>
      <c r="C869">
        <v>100</v>
      </c>
      <c r="D869" s="26">
        <v>4.75</v>
      </c>
      <c r="G869" s="26">
        <v>25.116</v>
      </c>
      <c r="H869" s="25">
        <v>19.716000000000001</v>
      </c>
      <c r="I869" s="26">
        <v>1075.1500000000001</v>
      </c>
      <c r="J869" s="26">
        <v>119.46</v>
      </c>
      <c r="K869" s="26">
        <v>6.54</v>
      </c>
      <c r="M869" s="26">
        <v>147.13</v>
      </c>
      <c r="N869" s="26">
        <v>432.52</v>
      </c>
      <c r="O869" s="26">
        <v>86.5</v>
      </c>
      <c r="P869" s="26">
        <v>4.1500000000000004</v>
      </c>
      <c r="R869" s="26">
        <v>98.06</v>
      </c>
      <c r="S869" s="26">
        <v>973.49</v>
      </c>
      <c r="T869" s="26">
        <v>158.16999999999999</v>
      </c>
      <c r="AN869" s="26">
        <v>0.54400000000000004</v>
      </c>
    </row>
    <row r="870" spans="1:40" x14ac:dyDescent="0.25">
      <c r="A870" s="23" t="s">
        <v>141</v>
      </c>
      <c r="B870">
        <v>180</v>
      </c>
      <c r="C870">
        <v>100</v>
      </c>
      <c r="D870" s="26">
        <v>6.35</v>
      </c>
      <c r="G870" s="26">
        <v>32.908999999999999</v>
      </c>
      <c r="H870" s="25">
        <v>25.832999999999998</v>
      </c>
      <c r="I870" s="26">
        <v>1370.53</v>
      </c>
      <c r="J870" s="26">
        <v>152.28</v>
      </c>
      <c r="K870" s="26">
        <v>6.45</v>
      </c>
      <c r="M870" s="26">
        <v>189.97</v>
      </c>
      <c r="N870" s="26">
        <v>547.13</v>
      </c>
      <c r="O870" s="26">
        <v>109.43</v>
      </c>
      <c r="P870" s="26">
        <v>4.08</v>
      </c>
      <c r="R870" s="26">
        <v>126.24</v>
      </c>
      <c r="S870" s="26">
        <v>1244.51</v>
      </c>
      <c r="T870" s="26">
        <v>205.54</v>
      </c>
      <c r="AN870" s="26">
        <v>0.53800000000000003</v>
      </c>
    </row>
    <row r="871" spans="1:40" x14ac:dyDescent="0.25">
      <c r="A871" s="23" t="s">
        <v>141</v>
      </c>
      <c r="B871">
        <v>200</v>
      </c>
      <c r="C871">
        <v>100</v>
      </c>
      <c r="D871" s="26">
        <v>4</v>
      </c>
      <c r="G871" s="26">
        <v>22.948</v>
      </c>
      <c r="H871" s="25">
        <v>18.013999999999999</v>
      </c>
      <c r="I871" s="26">
        <v>1198.99</v>
      </c>
      <c r="J871" s="26">
        <v>119.9</v>
      </c>
      <c r="K871" s="26">
        <v>7.23</v>
      </c>
      <c r="M871" s="26">
        <v>148.05000000000001</v>
      </c>
      <c r="N871" s="26">
        <v>410.52</v>
      </c>
      <c r="O871" s="26">
        <v>82.1</v>
      </c>
      <c r="P871" s="26">
        <v>4.2300000000000004</v>
      </c>
      <c r="R871" s="26">
        <v>91.71</v>
      </c>
      <c r="S871" s="26">
        <v>966.79</v>
      </c>
      <c r="T871" s="26">
        <v>150.28</v>
      </c>
      <c r="AN871" s="26">
        <v>0.58599999999999997</v>
      </c>
    </row>
    <row r="872" spans="1:40" x14ac:dyDescent="0.25">
      <c r="A872" s="23" t="s">
        <v>141</v>
      </c>
      <c r="B872">
        <v>200</v>
      </c>
      <c r="C872">
        <v>100</v>
      </c>
      <c r="D872" s="26">
        <v>5</v>
      </c>
      <c r="G872" s="26">
        <v>28.356000000000002</v>
      </c>
      <c r="H872" s="25">
        <v>22.26</v>
      </c>
      <c r="I872" s="26">
        <v>1458.26</v>
      </c>
      <c r="J872" s="26">
        <v>145.83000000000001</v>
      </c>
      <c r="K872" s="26">
        <v>7.17</v>
      </c>
      <c r="M872" s="26">
        <v>181.4</v>
      </c>
      <c r="N872" s="26">
        <v>496.53</v>
      </c>
      <c r="O872" s="26">
        <v>99.31</v>
      </c>
      <c r="P872" s="26">
        <v>4.18</v>
      </c>
      <c r="R872" s="26">
        <v>112.12</v>
      </c>
      <c r="S872" s="26">
        <v>1177.2</v>
      </c>
      <c r="T872" s="26">
        <v>184.77</v>
      </c>
      <c r="AN872" s="26">
        <v>0.58299999999999996</v>
      </c>
    </row>
    <row r="873" spans="1:40" x14ac:dyDescent="0.25">
      <c r="A873" s="23" t="s">
        <v>141</v>
      </c>
      <c r="B873">
        <v>200</v>
      </c>
      <c r="C873">
        <v>100</v>
      </c>
      <c r="D873" s="26">
        <v>6</v>
      </c>
      <c r="G873" s="26">
        <v>33.633000000000003</v>
      </c>
      <c r="H873" s="25">
        <v>26.402000000000001</v>
      </c>
      <c r="I873" s="26">
        <v>1702.05</v>
      </c>
      <c r="J873" s="26">
        <v>170.21</v>
      </c>
      <c r="K873" s="26">
        <v>7.11</v>
      </c>
      <c r="M873" s="26">
        <v>213.31</v>
      </c>
      <c r="N873" s="26">
        <v>576.32000000000005</v>
      </c>
      <c r="O873" s="26">
        <v>115.26</v>
      </c>
      <c r="P873" s="26">
        <v>4.1399999999999997</v>
      </c>
      <c r="R873" s="26">
        <v>131.56</v>
      </c>
      <c r="S873" s="26">
        <v>1375.08</v>
      </c>
      <c r="T873" s="26">
        <v>218</v>
      </c>
      <c r="AN873" s="26">
        <v>0.57899999999999996</v>
      </c>
    </row>
    <row r="874" spans="1:40" x14ac:dyDescent="0.25">
      <c r="A874" s="23" t="s">
        <v>141</v>
      </c>
      <c r="B874">
        <v>200</v>
      </c>
      <c r="C874">
        <v>100</v>
      </c>
      <c r="D874" s="26">
        <v>8</v>
      </c>
      <c r="G874" s="26">
        <v>43.792000000000002</v>
      </c>
      <c r="H874" s="25">
        <v>34.377000000000002</v>
      </c>
      <c r="I874" s="26">
        <v>2144.6</v>
      </c>
      <c r="J874" s="26">
        <v>214.46</v>
      </c>
      <c r="K874" s="26">
        <v>7</v>
      </c>
      <c r="M874" s="26">
        <v>272.92</v>
      </c>
      <c r="N874" s="26">
        <v>718.11</v>
      </c>
      <c r="O874" s="26">
        <v>143.62</v>
      </c>
      <c r="P874" s="26">
        <v>4.05</v>
      </c>
      <c r="R874" s="26">
        <v>167.57</v>
      </c>
      <c r="S874" s="26">
        <v>1733.32</v>
      </c>
      <c r="T874" s="26">
        <v>280.64999999999998</v>
      </c>
      <c r="AN874" s="26">
        <v>0.57299999999999995</v>
      </c>
    </row>
    <row r="875" spans="1:40" x14ac:dyDescent="0.25">
      <c r="A875" s="23" t="s">
        <v>141</v>
      </c>
      <c r="B875">
        <v>200</v>
      </c>
      <c r="C875">
        <v>100</v>
      </c>
      <c r="D875" s="26">
        <v>10</v>
      </c>
      <c r="G875" s="26">
        <v>53.424999999999997</v>
      </c>
      <c r="H875" s="25">
        <v>41.938000000000002</v>
      </c>
      <c r="I875" s="26">
        <v>2529.41</v>
      </c>
      <c r="J875" s="26">
        <v>252.94</v>
      </c>
      <c r="K875" s="26">
        <v>6.88</v>
      </c>
      <c r="M875" s="26">
        <v>326.99</v>
      </c>
      <c r="N875" s="26">
        <v>837.54</v>
      </c>
      <c r="O875" s="26">
        <v>167.51</v>
      </c>
      <c r="P875" s="26">
        <v>3.96</v>
      </c>
      <c r="R875" s="26">
        <v>199.89</v>
      </c>
      <c r="S875" s="26">
        <v>2041.71</v>
      </c>
      <c r="T875" s="26">
        <v>338.14</v>
      </c>
      <c r="AN875" s="26">
        <v>0.56599999999999995</v>
      </c>
    </row>
    <row r="876" spans="1:40" x14ac:dyDescent="0.25">
      <c r="A876" s="23" t="s">
        <v>141</v>
      </c>
      <c r="B876">
        <v>250</v>
      </c>
      <c r="C876">
        <v>100</v>
      </c>
      <c r="D876" s="26">
        <v>5</v>
      </c>
      <c r="G876" s="26">
        <v>33.356000000000002</v>
      </c>
      <c r="H876" s="25">
        <v>26.184999999999999</v>
      </c>
      <c r="I876" s="26">
        <v>2552.06</v>
      </c>
      <c r="J876" s="26">
        <v>204.17</v>
      </c>
      <c r="K876" s="26">
        <v>8.75</v>
      </c>
      <c r="M876" s="26">
        <v>258.54000000000002</v>
      </c>
      <c r="N876" s="26">
        <v>609.34</v>
      </c>
      <c r="O876" s="26">
        <v>121.87</v>
      </c>
      <c r="P876" s="26">
        <v>4.2699999999999996</v>
      </c>
      <c r="R876" s="26">
        <v>135.87</v>
      </c>
      <c r="S876" s="26">
        <v>1586.7</v>
      </c>
      <c r="T876" s="26">
        <v>232.27</v>
      </c>
      <c r="AN876" s="26">
        <v>0.68300000000000005</v>
      </c>
    </row>
    <row r="877" spans="1:40" x14ac:dyDescent="0.25">
      <c r="A877" s="23" t="s">
        <v>141</v>
      </c>
      <c r="B877">
        <v>250</v>
      </c>
      <c r="C877">
        <v>100</v>
      </c>
      <c r="D877" s="26">
        <v>6</v>
      </c>
      <c r="G877" s="26">
        <v>39.633000000000003</v>
      </c>
      <c r="H877" s="25">
        <v>31.111999999999998</v>
      </c>
      <c r="I877" s="26">
        <v>2990.14</v>
      </c>
      <c r="J877" s="26">
        <v>239.21</v>
      </c>
      <c r="K877" s="26">
        <v>8.69</v>
      </c>
      <c r="M877" s="26">
        <v>304.89</v>
      </c>
      <c r="N877" s="26">
        <v>708.86</v>
      </c>
      <c r="O877" s="26">
        <v>141.77000000000001</v>
      </c>
      <c r="P877" s="26">
        <v>4.2300000000000004</v>
      </c>
      <c r="R877" s="26">
        <v>159.76</v>
      </c>
      <c r="S877" s="26">
        <v>1856.36</v>
      </c>
      <c r="T877" s="26">
        <v>274.39999999999998</v>
      </c>
      <c r="AN877" s="26">
        <v>0.67900000000000005</v>
      </c>
    </row>
    <row r="878" spans="1:40" x14ac:dyDescent="0.25">
      <c r="A878" s="23" t="s">
        <v>141</v>
      </c>
      <c r="B878">
        <v>250</v>
      </c>
      <c r="C878">
        <v>100</v>
      </c>
      <c r="D878" s="26">
        <v>8</v>
      </c>
      <c r="G878" s="26">
        <v>51.792000000000002</v>
      </c>
      <c r="H878" s="25">
        <v>40.656999999999996</v>
      </c>
      <c r="I878" s="26">
        <v>3797.45</v>
      </c>
      <c r="J878" s="26">
        <v>303.8</v>
      </c>
      <c r="K878" s="26">
        <v>8.56</v>
      </c>
      <c r="M878" s="26">
        <v>392.39</v>
      </c>
      <c r="N878" s="26">
        <v>887.39</v>
      </c>
      <c r="O878" s="26">
        <v>177.48</v>
      </c>
      <c r="P878" s="26">
        <v>4.1399999999999997</v>
      </c>
      <c r="R878" s="26">
        <v>204.37</v>
      </c>
      <c r="S878" s="26">
        <v>2348.2399999999998</v>
      </c>
      <c r="T878" s="26">
        <v>354.25</v>
      </c>
      <c r="AN878" s="26">
        <v>0.67300000000000004</v>
      </c>
    </row>
    <row r="879" spans="1:40" x14ac:dyDescent="0.25">
      <c r="A879" s="23" t="s">
        <v>141</v>
      </c>
      <c r="B879">
        <v>250</v>
      </c>
      <c r="C879">
        <v>100</v>
      </c>
      <c r="D879" s="26">
        <v>10</v>
      </c>
      <c r="G879" s="26">
        <v>63.424999999999997</v>
      </c>
      <c r="H879" s="25">
        <v>49.787999999999997</v>
      </c>
      <c r="I879" s="26">
        <v>4515.84</v>
      </c>
      <c r="J879" s="26">
        <v>361.27</v>
      </c>
      <c r="K879" s="26">
        <v>8.44</v>
      </c>
      <c r="M879" s="26">
        <v>473.04</v>
      </c>
      <c r="N879" s="26">
        <v>1040.04</v>
      </c>
      <c r="O879" s="26">
        <v>208.01</v>
      </c>
      <c r="P879" s="26">
        <v>4.05</v>
      </c>
      <c r="R879" s="26">
        <v>244.89</v>
      </c>
      <c r="S879" s="26">
        <v>2777.28</v>
      </c>
      <c r="T879" s="26">
        <v>428.14</v>
      </c>
      <c r="AN879" s="26">
        <v>0.66600000000000004</v>
      </c>
    </row>
    <row r="880" spans="1:40" x14ac:dyDescent="0.25">
      <c r="A880" s="23" t="s">
        <v>141</v>
      </c>
      <c r="B880">
        <v>250</v>
      </c>
      <c r="C880">
        <v>100</v>
      </c>
      <c r="D880" s="26">
        <v>12</v>
      </c>
      <c r="G880" s="26">
        <v>74.531999999999996</v>
      </c>
      <c r="H880" s="25">
        <v>58.506999999999998</v>
      </c>
      <c r="I880" s="26">
        <v>5148.71</v>
      </c>
      <c r="J880" s="26">
        <v>411.9</v>
      </c>
      <c r="K880" s="26">
        <v>8.31</v>
      </c>
      <c r="M880" s="26">
        <v>546.98</v>
      </c>
      <c r="N880" s="26">
        <v>1168.54</v>
      </c>
      <c r="O880" s="26">
        <v>233.71</v>
      </c>
      <c r="P880" s="26">
        <v>3.96</v>
      </c>
      <c r="R880" s="26">
        <v>281.45</v>
      </c>
      <c r="S880" s="26">
        <v>3144.11</v>
      </c>
      <c r="T880" s="26">
        <v>495.98</v>
      </c>
      <c r="AN880" s="26">
        <v>0.65900000000000003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8191-CDFC-4B0B-A80A-3B0156EE79FA}">
  <dimension ref="A1:Q363"/>
  <sheetViews>
    <sheetView topLeftCell="A309" zoomScale="85" zoomScaleNormal="85" workbookViewId="0">
      <selection activeCell="P269" sqref="P269:Q363"/>
    </sheetView>
  </sheetViews>
  <sheetFormatPr defaultRowHeight="15" x14ac:dyDescent="0.25"/>
  <cols>
    <col min="1" max="1" width="14.28515625" customWidth="1"/>
  </cols>
  <sheetData>
    <row r="1" spans="1:12" x14ac:dyDescent="0.25">
      <c r="A1" t="s">
        <v>131</v>
      </c>
      <c r="B1" t="s">
        <v>115</v>
      </c>
      <c r="C1" t="s">
        <v>98</v>
      </c>
      <c r="D1" t="s">
        <v>116</v>
      </c>
      <c r="E1" t="s">
        <v>10</v>
      </c>
      <c r="F1" t="s">
        <v>117</v>
      </c>
      <c r="G1" t="s">
        <v>118</v>
      </c>
      <c r="H1" t="s">
        <v>119</v>
      </c>
      <c r="I1" t="s">
        <v>99</v>
      </c>
      <c r="J1" t="s">
        <v>120</v>
      </c>
      <c r="K1" t="s">
        <v>27</v>
      </c>
      <c r="L1" t="s">
        <v>80</v>
      </c>
    </row>
    <row r="2" spans="1:12" x14ac:dyDescent="0.25">
      <c r="B2" t="s">
        <v>121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126</v>
      </c>
      <c r="K2" t="s">
        <v>125</v>
      </c>
      <c r="L2" t="s">
        <v>126</v>
      </c>
    </row>
    <row r="3" spans="1:12" x14ac:dyDescent="0.25">
      <c r="A3" t="str">
        <f>+_xlfn.CONCAT(B3," x ",C3)</f>
        <v>12,7 x 0,7</v>
      </c>
      <c r="B3">
        <v>12.7</v>
      </c>
      <c r="C3">
        <v>0.7</v>
      </c>
      <c r="D3">
        <v>0.04</v>
      </c>
      <c r="E3">
        <v>0.26</v>
      </c>
      <c r="F3">
        <v>0.21</v>
      </c>
      <c r="G3">
        <v>0.05</v>
      </c>
      <c r="H3">
        <v>0.08</v>
      </c>
      <c r="I3">
        <v>0.42</v>
      </c>
      <c r="J3">
        <v>0.1</v>
      </c>
      <c r="K3">
        <v>0.1</v>
      </c>
      <c r="L3">
        <v>0.15</v>
      </c>
    </row>
    <row r="4" spans="1:12" x14ac:dyDescent="0.25">
      <c r="A4" t="str">
        <f t="shared" ref="A4:A67" si="0">+_xlfn.CONCAT(B4," x ",C4)</f>
        <v>12,7 x 0,9</v>
      </c>
      <c r="B4">
        <v>12.7</v>
      </c>
      <c r="C4">
        <v>0.9</v>
      </c>
      <c r="D4">
        <v>0.04</v>
      </c>
      <c r="E4">
        <v>0.33</v>
      </c>
      <c r="F4">
        <v>0.26</v>
      </c>
      <c r="G4">
        <v>0.06</v>
      </c>
      <c r="H4">
        <v>0.09</v>
      </c>
      <c r="I4">
        <v>0.42</v>
      </c>
      <c r="J4">
        <v>0.13</v>
      </c>
      <c r="K4">
        <v>0.12</v>
      </c>
      <c r="L4">
        <v>0.18</v>
      </c>
    </row>
    <row r="5" spans="1:12" x14ac:dyDescent="0.25">
      <c r="A5" t="str">
        <f t="shared" si="0"/>
        <v>12,7 x 1,25</v>
      </c>
      <c r="B5">
        <v>12.7</v>
      </c>
      <c r="C5">
        <v>1.25</v>
      </c>
      <c r="D5">
        <v>0.04</v>
      </c>
      <c r="E5">
        <v>0.45</v>
      </c>
      <c r="F5">
        <v>0.35</v>
      </c>
      <c r="G5">
        <v>7.0000000000000007E-2</v>
      </c>
      <c r="H5">
        <v>0.12</v>
      </c>
      <c r="I5">
        <v>0.41</v>
      </c>
      <c r="J5">
        <v>0.16</v>
      </c>
      <c r="K5">
        <v>0.15</v>
      </c>
      <c r="L5">
        <v>0.23</v>
      </c>
    </row>
    <row r="6" spans="1:12" x14ac:dyDescent="0.25">
      <c r="A6" t="str">
        <f t="shared" si="0"/>
        <v>12,7 x 1,6</v>
      </c>
      <c r="B6">
        <v>12.7</v>
      </c>
      <c r="C6">
        <v>1.6</v>
      </c>
      <c r="D6">
        <v>0.04</v>
      </c>
      <c r="E6">
        <v>0.56000000000000005</v>
      </c>
      <c r="F6">
        <v>0.44</v>
      </c>
      <c r="G6">
        <v>0.09</v>
      </c>
      <c r="H6">
        <v>0.14000000000000001</v>
      </c>
      <c r="I6">
        <v>0.4</v>
      </c>
      <c r="J6">
        <v>0.2</v>
      </c>
      <c r="K6">
        <v>0.18</v>
      </c>
      <c r="L6">
        <v>0.28000000000000003</v>
      </c>
    </row>
    <row r="7" spans="1:12" x14ac:dyDescent="0.25">
      <c r="A7" t="str">
        <f t="shared" si="0"/>
        <v>15,87 x 0,7</v>
      </c>
      <c r="B7">
        <v>15.87</v>
      </c>
      <c r="C7">
        <v>0.7</v>
      </c>
      <c r="D7">
        <v>0.05</v>
      </c>
      <c r="E7">
        <v>0.33</v>
      </c>
      <c r="F7">
        <v>0.26</v>
      </c>
      <c r="G7">
        <v>0.1</v>
      </c>
      <c r="H7">
        <v>0.12</v>
      </c>
      <c r="I7">
        <v>0.54</v>
      </c>
      <c r="J7">
        <v>0.16</v>
      </c>
      <c r="K7">
        <v>0.19</v>
      </c>
      <c r="L7">
        <v>0.25</v>
      </c>
    </row>
    <row r="8" spans="1:12" x14ac:dyDescent="0.25">
      <c r="A8" t="str">
        <f t="shared" si="0"/>
        <v>15,87 x 0,9</v>
      </c>
      <c r="B8">
        <v>15.87</v>
      </c>
      <c r="C8">
        <v>0.9</v>
      </c>
      <c r="D8">
        <v>0.05</v>
      </c>
      <c r="E8">
        <v>0.42</v>
      </c>
      <c r="F8">
        <v>0.33</v>
      </c>
      <c r="G8">
        <v>0.12</v>
      </c>
      <c r="H8">
        <v>0.15</v>
      </c>
      <c r="I8">
        <v>0.53</v>
      </c>
      <c r="J8">
        <v>0.2</v>
      </c>
      <c r="K8">
        <v>0.24</v>
      </c>
      <c r="L8">
        <v>0.3</v>
      </c>
    </row>
    <row r="9" spans="1:12" x14ac:dyDescent="0.25">
      <c r="A9" t="str">
        <f t="shared" si="0"/>
        <v>15,87 x 1,25</v>
      </c>
      <c r="B9">
        <v>15.87</v>
      </c>
      <c r="C9">
        <v>1.25</v>
      </c>
      <c r="D9">
        <v>0.05</v>
      </c>
      <c r="E9">
        <v>0.56999999999999995</v>
      </c>
      <c r="F9">
        <v>0.45</v>
      </c>
      <c r="G9">
        <v>0.15</v>
      </c>
      <c r="H9">
        <v>0.19</v>
      </c>
      <c r="I9">
        <v>0.52</v>
      </c>
      <c r="J9">
        <v>0.27</v>
      </c>
      <c r="K9">
        <v>0.31</v>
      </c>
      <c r="L9">
        <v>0.39</v>
      </c>
    </row>
    <row r="10" spans="1:12" x14ac:dyDescent="0.25">
      <c r="A10" t="str">
        <f t="shared" si="0"/>
        <v>15,87 x 1,6</v>
      </c>
      <c r="B10">
        <v>15.87</v>
      </c>
      <c r="C10">
        <v>1.6</v>
      </c>
      <c r="D10">
        <v>0.05</v>
      </c>
      <c r="E10">
        <v>0.72</v>
      </c>
      <c r="F10">
        <v>0.56000000000000005</v>
      </c>
      <c r="G10">
        <v>0.18</v>
      </c>
      <c r="H10">
        <v>0.23</v>
      </c>
      <c r="I10">
        <v>0.51</v>
      </c>
      <c r="J10">
        <v>0.33</v>
      </c>
      <c r="K10">
        <v>0.37</v>
      </c>
      <c r="L10">
        <v>0.47</v>
      </c>
    </row>
    <row r="11" spans="1:12" x14ac:dyDescent="0.25">
      <c r="A11" t="str">
        <f t="shared" si="0"/>
        <v>19,05 x 0,7</v>
      </c>
      <c r="B11">
        <v>19.05</v>
      </c>
      <c r="C11">
        <v>0.7</v>
      </c>
      <c r="D11">
        <v>0.06</v>
      </c>
      <c r="E11">
        <v>0.4</v>
      </c>
      <c r="F11">
        <v>0.32</v>
      </c>
      <c r="G11">
        <v>0.17</v>
      </c>
      <c r="H11">
        <v>0.18</v>
      </c>
      <c r="I11">
        <v>0.65</v>
      </c>
      <c r="J11">
        <v>0.24</v>
      </c>
      <c r="K11">
        <v>0.34</v>
      </c>
      <c r="L11">
        <v>0.37</v>
      </c>
    </row>
    <row r="12" spans="1:12" x14ac:dyDescent="0.25">
      <c r="A12" t="str">
        <f t="shared" si="0"/>
        <v>19,05 x 0,9</v>
      </c>
      <c r="B12">
        <v>19.05</v>
      </c>
      <c r="C12">
        <v>0.9</v>
      </c>
      <c r="D12">
        <v>0.06</v>
      </c>
      <c r="E12">
        <v>0.51</v>
      </c>
      <c r="F12">
        <v>0.4</v>
      </c>
      <c r="G12">
        <v>0.21</v>
      </c>
      <c r="H12">
        <v>0.22</v>
      </c>
      <c r="I12">
        <v>0.64</v>
      </c>
      <c r="J12">
        <v>0.3</v>
      </c>
      <c r="K12">
        <v>0.42</v>
      </c>
      <c r="L12">
        <v>0.47</v>
      </c>
    </row>
    <row r="13" spans="1:12" x14ac:dyDescent="0.25">
      <c r="A13" t="str">
        <f t="shared" si="0"/>
        <v>19,05 x 1,25</v>
      </c>
      <c r="B13">
        <v>19.05</v>
      </c>
      <c r="C13">
        <v>1.25</v>
      </c>
      <c r="D13">
        <v>0.06</v>
      </c>
      <c r="E13">
        <v>0.7</v>
      </c>
      <c r="F13">
        <v>0.55000000000000004</v>
      </c>
      <c r="G13">
        <v>0.28000000000000003</v>
      </c>
      <c r="H13">
        <v>0.28999999999999998</v>
      </c>
      <c r="I13">
        <v>0.63</v>
      </c>
      <c r="J13">
        <v>0.4</v>
      </c>
      <c r="K13">
        <v>0.56000000000000005</v>
      </c>
      <c r="L13">
        <v>0.57999999999999996</v>
      </c>
    </row>
    <row r="14" spans="1:12" x14ac:dyDescent="0.25">
      <c r="A14" t="str">
        <f t="shared" si="0"/>
        <v>19,05 x 1,6</v>
      </c>
      <c r="B14">
        <v>19.05</v>
      </c>
      <c r="C14">
        <v>1.6</v>
      </c>
      <c r="D14">
        <v>0.06</v>
      </c>
      <c r="E14">
        <v>0.88</v>
      </c>
      <c r="F14">
        <v>0.69</v>
      </c>
      <c r="G14">
        <v>0.34</v>
      </c>
      <c r="H14">
        <v>0.35</v>
      </c>
      <c r="I14">
        <v>0.62</v>
      </c>
      <c r="J14">
        <v>0.49</v>
      </c>
      <c r="K14">
        <v>0.67</v>
      </c>
      <c r="L14">
        <v>0.71</v>
      </c>
    </row>
    <row r="15" spans="1:12" x14ac:dyDescent="0.25">
      <c r="A15" t="str">
        <f t="shared" si="0"/>
        <v>19,05 x 2</v>
      </c>
      <c r="B15">
        <v>19.05</v>
      </c>
      <c r="C15">
        <v>2</v>
      </c>
      <c r="D15">
        <v>0.06</v>
      </c>
      <c r="E15">
        <v>1.07</v>
      </c>
      <c r="F15">
        <v>0.84</v>
      </c>
      <c r="G15">
        <v>0.39</v>
      </c>
      <c r="H15">
        <v>0.41</v>
      </c>
      <c r="I15">
        <v>0.61</v>
      </c>
      <c r="J15">
        <v>0.57999999999999996</v>
      </c>
      <c r="K15">
        <v>0.79</v>
      </c>
      <c r="L15">
        <v>0.83</v>
      </c>
    </row>
    <row r="16" spans="1:12" x14ac:dyDescent="0.25">
      <c r="A16" t="str">
        <f t="shared" si="0"/>
        <v>22,22 x 0,7</v>
      </c>
      <c r="B16">
        <v>22.22</v>
      </c>
      <c r="C16">
        <v>0.7</v>
      </c>
      <c r="D16">
        <v>7.0000000000000007E-2</v>
      </c>
      <c r="E16">
        <v>0.47</v>
      </c>
      <c r="F16">
        <v>0.37</v>
      </c>
      <c r="G16">
        <v>0.27</v>
      </c>
      <c r="H16">
        <v>0.25</v>
      </c>
      <c r="I16">
        <v>0.76</v>
      </c>
      <c r="J16">
        <v>0.32</v>
      </c>
      <c r="K16">
        <v>0.55000000000000004</v>
      </c>
      <c r="L16">
        <v>0.51</v>
      </c>
    </row>
    <row r="17" spans="1:12" x14ac:dyDescent="0.25">
      <c r="A17" t="str">
        <f t="shared" si="0"/>
        <v>22,22 x 0,9</v>
      </c>
      <c r="B17">
        <v>22.22</v>
      </c>
      <c r="C17">
        <v>0.9</v>
      </c>
      <c r="D17">
        <v>7.0000000000000007E-2</v>
      </c>
      <c r="E17">
        <v>0.6</v>
      </c>
      <c r="F17">
        <v>0.47</v>
      </c>
      <c r="G17">
        <v>0.34</v>
      </c>
      <c r="H17">
        <v>0.31</v>
      </c>
      <c r="I17">
        <v>0.75</v>
      </c>
      <c r="J17">
        <v>0.41</v>
      </c>
      <c r="K17">
        <v>0.69</v>
      </c>
      <c r="L17">
        <v>0.64</v>
      </c>
    </row>
    <row r="18" spans="1:12" x14ac:dyDescent="0.25">
      <c r="A18" t="str">
        <f t="shared" si="0"/>
        <v>22,22 x 1,25</v>
      </c>
      <c r="B18">
        <v>22.22</v>
      </c>
      <c r="C18">
        <v>1.25</v>
      </c>
      <c r="D18">
        <v>7.0000000000000007E-2</v>
      </c>
      <c r="E18">
        <v>0.82</v>
      </c>
      <c r="F18">
        <v>0.65</v>
      </c>
      <c r="G18">
        <v>0.45</v>
      </c>
      <c r="H18">
        <v>0.41</v>
      </c>
      <c r="I18">
        <v>0.74</v>
      </c>
      <c r="J18">
        <v>0.55000000000000004</v>
      </c>
      <c r="K18">
        <v>0.91</v>
      </c>
      <c r="L18">
        <v>0.82</v>
      </c>
    </row>
    <row r="19" spans="1:12" x14ac:dyDescent="0.25">
      <c r="A19" t="str">
        <f t="shared" si="0"/>
        <v>22,22 x 1,6</v>
      </c>
      <c r="B19">
        <v>22.22</v>
      </c>
      <c r="C19">
        <v>1.6</v>
      </c>
      <c r="D19">
        <v>7.0000000000000007E-2</v>
      </c>
      <c r="E19">
        <v>1.04</v>
      </c>
      <c r="F19">
        <v>0.81</v>
      </c>
      <c r="G19">
        <v>0.55000000000000004</v>
      </c>
      <c r="H19">
        <v>0.5</v>
      </c>
      <c r="I19">
        <v>0.73</v>
      </c>
      <c r="J19">
        <v>0.68</v>
      </c>
      <c r="K19">
        <v>1.1100000000000001</v>
      </c>
      <c r="L19">
        <v>1</v>
      </c>
    </row>
    <row r="20" spans="1:12" x14ac:dyDescent="0.25">
      <c r="A20" t="str">
        <f t="shared" si="0"/>
        <v>22,22 x 2</v>
      </c>
      <c r="B20">
        <v>22.22</v>
      </c>
      <c r="C20">
        <v>2</v>
      </c>
      <c r="D20">
        <v>7.0000000000000007E-2</v>
      </c>
      <c r="E20">
        <v>1.27</v>
      </c>
      <c r="F20">
        <v>1</v>
      </c>
      <c r="G20">
        <v>0.66</v>
      </c>
      <c r="H20">
        <v>0.59</v>
      </c>
      <c r="I20">
        <v>0.72</v>
      </c>
      <c r="J20">
        <v>0.82</v>
      </c>
      <c r="K20">
        <v>1.31</v>
      </c>
      <c r="L20">
        <v>1.18</v>
      </c>
    </row>
    <row r="21" spans="1:12" x14ac:dyDescent="0.25">
      <c r="A21" t="str">
        <f t="shared" si="0"/>
        <v>25,4 x 0,7</v>
      </c>
      <c r="B21">
        <v>25.4</v>
      </c>
      <c r="C21">
        <v>0.7</v>
      </c>
      <c r="D21">
        <v>0.08</v>
      </c>
      <c r="E21">
        <v>0.54</v>
      </c>
      <c r="F21">
        <v>0.43</v>
      </c>
      <c r="G21">
        <v>0.41</v>
      </c>
      <c r="H21">
        <v>0.33</v>
      </c>
      <c r="I21">
        <v>0.87</v>
      </c>
      <c r="J21">
        <v>0.43</v>
      </c>
      <c r="K21">
        <v>0.83</v>
      </c>
      <c r="L21">
        <v>0.67</v>
      </c>
    </row>
    <row r="22" spans="1:12" x14ac:dyDescent="0.25">
      <c r="A22" t="str">
        <f t="shared" si="0"/>
        <v>25,4 x 0,9</v>
      </c>
      <c r="B22">
        <v>25.4</v>
      </c>
      <c r="C22">
        <v>0.9</v>
      </c>
      <c r="D22">
        <v>0.08</v>
      </c>
      <c r="E22">
        <v>0.69</v>
      </c>
      <c r="F22">
        <v>0.54</v>
      </c>
      <c r="G22">
        <v>0.52</v>
      </c>
      <c r="H22">
        <v>0.41</v>
      </c>
      <c r="I22">
        <v>0.87</v>
      </c>
      <c r="J22">
        <v>0.54</v>
      </c>
      <c r="K22">
        <v>1.04</v>
      </c>
      <c r="L22">
        <v>0.85</v>
      </c>
    </row>
    <row r="23" spans="1:12" x14ac:dyDescent="0.25">
      <c r="A23" t="str">
        <f t="shared" si="0"/>
        <v>25,4 x 1,25</v>
      </c>
      <c r="B23">
        <v>25.4</v>
      </c>
      <c r="C23">
        <v>1.25</v>
      </c>
      <c r="D23">
        <v>0.08</v>
      </c>
      <c r="E23">
        <v>0.95</v>
      </c>
      <c r="F23">
        <v>0.74</v>
      </c>
      <c r="G23">
        <v>0.69</v>
      </c>
      <c r="H23">
        <v>0.55000000000000004</v>
      </c>
      <c r="I23">
        <v>0.85</v>
      </c>
      <c r="J23">
        <v>0.73</v>
      </c>
      <c r="K23">
        <v>1.39</v>
      </c>
      <c r="L23">
        <v>1.1399999999999999</v>
      </c>
    </row>
    <row r="24" spans="1:12" x14ac:dyDescent="0.25">
      <c r="A24" t="str">
        <f t="shared" si="0"/>
        <v>25,4 x 1,6</v>
      </c>
      <c r="B24">
        <v>25.4</v>
      </c>
      <c r="C24">
        <v>1.6</v>
      </c>
      <c r="D24">
        <v>0.08</v>
      </c>
      <c r="E24">
        <v>1.2</v>
      </c>
      <c r="F24">
        <v>0.94</v>
      </c>
      <c r="G24">
        <v>0.85</v>
      </c>
      <c r="H24">
        <v>0.67</v>
      </c>
      <c r="I24">
        <v>0.84</v>
      </c>
      <c r="J24">
        <v>0.91</v>
      </c>
      <c r="K24">
        <v>1.7</v>
      </c>
      <c r="L24">
        <v>1.34</v>
      </c>
    </row>
    <row r="25" spans="1:12" x14ac:dyDescent="0.25">
      <c r="A25" t="str">
        <f t="shared" si="0"/>
        <v>25,4 x 2</v>
      </c>
      <c r="B25">
        <v>25.4</v>
      </c>
      <c r="C25">
        <v>2</v>
      </c>
      <c r="D25">
        <v>0.08</v>
      </c>
      <c r="E25">
        <v>1.47</v>
      </c>
      <c r="F25">
        <v>1.1499999999999999</v>
      </c>
      <c r="G25">
        <v>1.01</v>
      </c>
      <c r="H25">
        <v>0.8</v>
      </c>
      <c r="I25">
        <v>0.83</v>
      </c>
      <c r="J25">
        <v>1.1000000000000001</v>
      </c>
      <c r="K25">
        <v>2.0299999999999998</v>
      </c>
      <c r="L25">
        <v>1.6</v>
      </c>
    </row>
    <row r="26" spans="1:12" x14ac:dyDescent="0.25">
      <c r="A26" t="str">
        <f t="shared" si="0"/>
        <v>25,4 x 2,5</v>
      </c>
      <c r="B26">
        <v>25.4</v>
      </c>
      <c r="C26">
        <v>2.5</v>
      </c>
      <c r="D26">
        <v>0.08</v>
      </c>
      <c r="E26">
        <v>1.8</v>
      </c>
      <c r="F26">
        <v>1.41</v>
      </c>
      <c r="G26">
        <v>1.19</v>
      </c>
      <c r="H26">
        <v>0.94</v>
      </c>
      <c r="I26">
        <v>0.81</v>
      </c>
      <c r="J26">
        <v>1.32</v>
      </c>
      <c r="K26">
        <v>2.39</v>
      </c>
      <c r="L26">
        <v>1.88</v>
      </c>
    </row>
    <row r="27" spans="1:12" x14ac:dyDescent="0.25">
      <c r="A27" t="str">
        <f t="shared" si="0"/>
        <v>31,75 x 0,9</v>
      </c>
      <c r="B27">
        <v>31.75</v>
      </c>
      <c r="C27">
        <v>0.9</v>
      </c>
      <c r="D27">
        <v>0.1</v>
      </c>
      <c r="E27">
        <v>0.87</v>
      </c>
      <c r="F27">
        <v>0.68</v>
      </c>
      <c r="G27">
        <v>1.04</v>
      </c>
      <c r="H27">
        <v>0.65</v>
      </c>
      <c r="I27">
        <v>1.0900000000000001</v>
      </c>
      <c r="J27">
        <v>0.86</v>
      </c>
      <c r="K27">
        <v>2.08</v>
      </c>
      <c r="L27">
        <v>1.34</v>
      </c>
    </row>
    <row r="28" spans="1:12" x14ac:dyDescent="0.25">
      <c r="A28" t="str">
        <f t="shared" si="0"/>
        <v>31,75 x 1,25</v>
      </c>
      <c r="B28">
        <v>31.75</v>
      </c>
      <c r="C28">
        <v>1.25</v>
      </c>
      <c r="D28">
        <v>0.1</v>
      </c>
      <c r="E28">
        <v>1.2</v>
      </c>
      <c r="F28">
        <v>0.94</v>
      </c>
      <c r="G28">
        <v>1.4</v>
      </c>
      <c r="H28">
        <v>0.88</v>
      </c>
      <c r="I28">
        <v>1.08</v>
      </c>
      <c r="J28">
        <v>1.1599999999999999</v>
      </c>
      <c r="K28">
        <v>2.79</v>
      </c>
      <c r="L28">
        <v>1.83</v>
      </c>
    </row>
    <row r="29" spans="1:12" x14ac:dyDescent="0.25">
      <c r="A29" t="str">
        <f t="shared" si="0"/>
        <v>31,75 x 1,6</v>
      </c>
      <c r="B29">
        <v>31.75</v>
      </c>
      <c r="C29">
        <v>1.6</v>
      </c>
      <c r="D29">
        <v>0.1</v>
      </c>
      <c r="E29">
        <v>1.52</v>
      </c>
      <c r="F29">
        <v>1.19</v>
      </c>
      <c r="G29">
        <v>1.73</v>
      </c>
      <c r="H29">
        <v>1.0900000000000001</v>
      </c>
      <c r="I29">
        <v>1.07</v>
      </c>
      <c r="J29">
        <v>1.46</v>
      </c>
      <c r="K29">
        <v>3.45</v>
      </c>
      <c r="L29">
        <v>2.1800000000000002</v>
      </c>
    </row>
    <row r="30" spans="1:12" x14ac:dyDescent="0.25">
      <c r="A30" t="str">
        <f t="shared" si="0"/>
        <v>31,75 x 2</v>
      </c>
      <c r="B30">
        <v>31.75</v>
      </c>
      <c r="C30">
        <v>2</v>
      </c>
      <c r="D30">
        <v>0.1</v>
      </c>
      <c r="E30">
        <v>1.87</v>
      </c>
      <c r="F30">
        <v>1.47</v>
      </c>
      <c r="G30">
        <v>2.08</v>
      </c>
      <c r="H30">
        <v>1.31</v>
      </c>
      <c r="I30">
        <v>1.05</v>
      </c>
      <c r="J30">
        <v>1.77</v>
      </c>
      <c r="K30">
        <v>4.1500000000000004</v>
      </c>
      <c r="L30">
        <v>2.62</v>
      </c>
    </row>
    <row r="31" spans="1:12" x14ac:dyDescent="0.25">
      <c r="A31" t="str">
        <f t="shared" si="0"/>
        <v>31,75 x 2,5</v>
      </c>
      <c r="B31">
        <v>31.75</v>
      </c>
      <c r="C31">
        <v>2.5</v>
      </c>
      <c r="D31">
        <v>0.1</v>
      </c>
      <c r="E31">
        <v>2.2999999999999998</v>
      </c>
      <c r="F31">
        <v>1.8</v>
      </c>
      <c r="G31">
        <v>2.4700000000000002</v>
      </c>
      <c r="H31">
        <v>1.56</v>
      </c>
      <c r="I31">
        <v>1.04</v>
      </c>
      <c r="J31">
        <v>2.14</v>
      </c>
      <c r="K31">
        <v>4.95</v>
      </c>
      <c r="L31">
        <v>3.12</v>
      </c>
    </row>
    <row r="32" spans="1:12" x14ac:dyDescent="0.25">
      <c r="A32" t="str">
        <f t="shared" si="0"/>
        <v>31,75 x 3,2</v>
      </c>
      <c r="B32">
        <v>31.75</v>
      </c>
      <c r="C32">
        <v>3.2</v>
      </c>
      <c r="D32">
        <v>0.1</v>
      </c>
      <c r="E32">
        <v>2.87</v>
      </c>
      <c r="F32">
        <v>2.25</v>
      </c>
      <c r="G32">
        <v>2.96</v>
      </c>
      <c r="H32">
        <v>1.87</v>
      </c>
      <c r="I32">
        <v>1.02</v>
      </c>
      <c r="J32">
        <v>2.62</v>
      </c>
      <c r="K32">
        <v>5.92</v>
      </c>
      <c r="L32">
        <v>3.73</v>
      </c>
    </row>
    <row r="33" spans="1:12" x14ac:dyDescent="0.25">
      <c r="A33" t="str">
        <f t="shared" si="0"/>
        <v>38,1 x 0,9</v>
      </c>
      <c r="B33">
        <v>38.1</v>
      </c>
      <c r="C33">
        <v>0.9</v>
      </c>
      <c r="D33">
        <v>0.12</v>
      </c>
      <c r="E33">
        <v>1.05</v>
      </c>
      <c r="F33">
        <v>0.83</v>
      </c>
      <c r="G33">
        <v>1.82</v>
      </c>
      <c r="H33">
        <v>0.96</v>
      </c>
      <c r="I33">
        <v>1.32</v>
      </c>
      <c r="J33">
        <v>1.25</v>
      </c>
      <c r="K33">
        <v>3.64</v>
      </c>
      <c r="L33">
        <v>1.96</v>
      </c>
    </row>
    <row r="34" spans="1:12" x14ac:dyDescent="0.25">
      <c r="A34" t="str">
        <f t="shared" si="0"/>
        <v>38,1 x 1,25</v>
      </c>
      <c r="B34">
        <v>38.1</v>
      </c>
      <c r="C34">
        <v>1.25</v>
      </c>
      <c r="D34">
        <v>0.12</v>
      </c>
      <c r="E34">
        <v>1.45</v>
      </c>
      <c r="F34">
        <v>1.1399999999999999</v>
      </c>
      <c r="G34">
        <v>2.46</v>
      </c>
      <c r="H34">
        <v>1.29</v>
      </c>
      <c r="I34">
        <v>1.3</v>
      </c>
      <c r="J34">
        <v>1.7</v>
      </c>
      <c r="K34">
        <v>4.92</v>
      </c>
      <c r="L34">
        <v>2.66</v>
      </c>
    </row>
    <row r="35" spans="1:12" x14ac:dyDescent="0.25">
      <c r="A35" t="str">
        <f t="shared" si="0"/>
        <v>38,1 x 1,6</v>
      </c>
      <c r="B35">
        <v>38.1</v>
      </c>
      <c r="C35">
        <v>1.6</v>
      </c>
      <c r="D35">
        <v>0.12</v>
      </c>
      <c r="E35">
        <v>1.83</v>
      </c>
      <c r="F35">
        <v>1.44</v>
      </c>
      <c r="G35">
        <v>3.06</v>
      </c>
      <c r="H35">
        <v>1.61</v>
      </c>
      <c r="I35">
        <v>1.29</v>
      </c>
      <c r="J35">
        <v>2.13</v>
      </c>
      <c r="K35">
        <v>6.12</v>
      </c>
      <c r="L35">
        <v>3.35</v>
      </c>
    </row>
    <row r="36" spans="1:12" x14ac:dyDescent="0.25">
      <c r="A36" t="str">
        <f t="shared" si="0"/>
        <v>38,1 x 2</v>
      </c>
      <c r="B36">
        <v>38.1</v>
      </c>
      <c r="C36">
        <v>2</v>
      </c>
      <c r="D36">
        <v>0.12</v>
      </c>
      <c r="E36">
        <v>2.27</v>
      </c>
      <c r="F36">
        <v>1.78</v>
      </c>
      <c r="G36">
        <v>3.71</v>
      </c>
      <c r="H36">
        <v>1.95</v>
      </c>
      <c r="I36">
        <v>1.28</v>
      </c>
      <c r="J36">
        <v>2.61</v>
      </c>
      <c r="K36">
        <v>7.41</v>
      </c>
      <c r="L36">
        <v>3.89</v>
      </c>
    </row>
    <row r="37" spans="1:12" x14ac:dyDescent="0.25">
      <c r="A37" t="str">
        <f t="shared" si="0"/>
        <v>38,1 x 2,5</v>
      </c>
      <c r="B37">
        <v>38.1</v>
      </c>
      <c r="C37">
        <v>2.5</v>
      </c>
      <c r="D37">
        <v>0.12</v>
      </c>
      <c r="E37">
        <v>2.8</v>
      </c>
      <c r="F37">
        <v>2.19</v>
      </c>
      <c r="G37">
        <v>4.45</v>
      </c>
      <c r="H37">
        <v>2.34</v>
      </c>
      <c r="I37">
        <v>1.26</v>
      </c>
      <c r="J37">
        <v>3.17</v>
      </c>
      <c r="K37">
        <v>8.9</v>
      </c>
      <c r="L37">
        <v>4.67</v>
      </c>
    </row>
    <row r="38" spans="1:12" x14ac:dyDescent="0.25">
      <c r="A38" t="str">
        <f t="shared" si="0"/>
        <v>38,1 x 3,2</v>
      </c>
      <c r="B38">
        <v>38.1</v>
      </c>
      <c r="C38">
        <v>3.2</v>
      </c>
      <c r="D38">
        <v>0.12</v>
      </c>
      <c r="E38">
        <v>3.51</v>
      </c>
      <c r="F38">
        <v>2.75</v>
      </c>
      <c r="G38">
        <v>5.39</v>
      </c>
      <c r="H38">
        <v>2.83</v>
      </c>
      <c r="I38">
        <v>1.24</v>
      </c>
      <c r="J38">
        <v>3.91</v>
      </c>
      <c r="K38">
        <v>10.77</v>
      </c>
      <c r="L38">
        <v>5.66</v>
      </c>
    </row>
    <row r="39" spans="1:12" x14ac:dyDescent="0.25">
      <c r="A39" t="str">
        <f t="shared" si="0"/>
        <v>44,45 x 0,9</v>
      </c>
      <c r="B39">
        <v>44.45</v>
      </c>
      <c r="C39">
        <v>0.9</v>
      </c>
      <c r="D39">
        <v>0.14000000000000001</v>
      </c>
      <c r="E39">
        <v>1.23</v>
      </c>
      <c r="F39">
        <v>0.97</v>
      </c>
      <c r="G39">
        <v>2.92</v>
      </c>
      <c r="H39">
        <v>1.31</v>
      </c>
      <c r="I39">
        <v>1.54</v>
      </c>
      <c r="J39">
        <v>1.71</v>
      </c>
      <c r="K39">
        <v>5.84</v>
      </c>
      <c r="L39">
        <v>2.68</v>
      </c>
    </row>
    <row r="40" spans="1:12" x14ac:dyDescent="0.25">
      <c r="A40" t="str">
        <f t="shared" si="0"/>
        <v>44,45 x 1,25</v>
      </c>
      <c r="B40">
        <v>44.45</v>
      </c>
      <c r="C40">
        <v>1.25</v>
      </c>
      <c r="D40">
        <v>0.14000000000000001</v>
      </c>
      <c r="E40">
        <v>1.7</v>
      </c>
      <c r="F40">
        <v>1.33</v>
      </c>
      <c r="G40">
        <v>3.96</v>
      </c>
      <c r="H40">
        <v>1.78</v>
      </c>
      <c r="I40">
        <v>1.53</v>
      </c>
      <c r="J40">
        <v>2.33</v>
      </c>
      <c r="K40">
        <v>7.92</v>
      </c>
      <c r="L40">
        <v>3.66</v>
      </c>
    </row>
    <row r="41" spans="1:12" x14ac:dyDescent="0.25">
      <c r="A41" t="str">
        <f t="shared" si="0"/>
        <v>44,45 x 1,6</v>
      </c>
      <c r="B41">
        <v>44.45</v>
      </c>
      <c r="C41">
        <v>1.6</v>
      </c>
      <c r="D41">
        <v>0.14000000000000001</v>
      </c>
      <c r="E41">
        <v>2.15</v>
      </c>
      <c r="F41">
        <v>1.69</v>
      </c>
      <c r="G41">
        <v>4.95</v>
      </c>
      <c r="H41">
        <v>2.23</v>
      </c>
      <c r="I41">
        <v>1.52</v>
      </c>
      <c r="J41">
        <v>2.94</v>
      </c>
      <c r="K41">
        <v>9.9</v>
      </c>
      <c r="L41">
        <v>4.6100000000000003</v>
      </c>
    </row>
    <row r="42" spans="1:12" x14ac:dyDescent="0.25">
      <c r="A42" t="str">
        <f t="shared" si="0"/>
        <v>44,45 x 2</v>
      </c>
      <c r="B42">
        <v>44.45</v>
      </c>
      <c r="C42">
        <v>2</v>
      </c>
      <c r="D42">
        <v>0.14000000000000001</v>
      </c>
      <c r="E42">
        <v>2.67</v>
      </c>
      <c r="F42">
        <v>2.09</v>
      </c>
      <c r="G42">
        <v>6.02</v>
      </c>
      <c r="H42">
        <v>2.71</v>
      </c>
      <c r="I42">
        <v>1.5</v>
      </c>
      <c r="J42">
        <v>3.61</v>
      </c>
      <c r="K42">
        <v>12.04</v>
      </c>
      <c r="L42">
        <v>5.66</v>
      </c>
    </row>
    <row r="43" spans="1:12" x14ac:dyDescent="0.25">
      <c r="A43" t="str">
        <f t="shared" si="0"/>
        <v>44,45 x 2,5</v>
      </c>
      <c r="B43">
        <v>44.45</v>
      </c>
      <c r="C43">
        <v>2.5</v>
      </c>
      <c r="D43">
        <v>0.14000000000000001</v>
      </c>
      <c r="E43">
        <v>3.29</v>
      </c>
      <c r="F43">
        <v>2.59</v>
      </c>
      <c r="G43">
        <v>7.27</v>
      </c>
      <c r="H43">
        <v>3.27</v>
      </c>
      <c r="I43">
        <v>1.49</v>
      </c>
      <c r="J43">
        <v>4.41</v>
      </c>
      <c r="K43">
        <v>14.55</v>
      </c>
      <c r="L43">
        <v>6.55</v>
      </c>
    </row>
    <row r="44" spans="1:12" x14ac:dyDescent="0.25">
      <c r="A44" t="str">
        <f t="shared" si="0"/>
        <v>44,45 x 3,2</v>
      </c>
      <c r="B44">
        <v>44.45</v>
      </c>
      <c r="C44">
        <v>3.2</v>
      </c>
      <c r="D44">
        <v>0.14000000000000001</v>
      </c>
      <c r="E44">
        <v>4.1500000000000004</v>
      </c>
      <c r="F44">
        <v>3.26</v>
      </c>
      <c r="G44">
        <v>8.8699999999999992</v>
      </c>
      <c r="H44">
        <v>3.99</v>
      </c>
      <c r="I44">
        <v>1.46</v>
      </c>
      <c r="J44">
        <v>5.46</v>
      </c>
      <c r="K44">
        <v>17.75</v>
      </c>
      <c r="L44">
        <v>7.98</v>
      </c>
    </row>
    <row r="45" spans="1:12" x14ac:dyDescent="0.25">
      <c r="A45" t="str">
        <f t="shared" si="0"/>
        <v>50,8 x 0,9</v>
      </c>
      <c r="B45">
        <v>50.8</v>
      </c>
      <c r="C45">
        <v>0.9</v>
      </c>
      <c r="D45">
        <v>0.16</v>
      </c>
      <c r="E45">
        <v>1.41</v>
      </c>
      <c r="F45">
        <v>1.1100000000000001</v>
      </c>
      <c r="G45">
        <v>4.3899999999999997</v>
      </c>
      <c r="H45">
        <v>1.73</v>
      </c>
      <c r="I45">
        <v>1.76</v>
      </c>
      <c r="J45">
        <v>2.2400000000000002</v>
      </c>
      <c r="K45">
        <v>8.7899999999999991</v>
      </c>
      <c r="L45">
        <v>3.52</v>
      </c>
    </row>
    <row r="46" spans="1:12" x14ac:dyDescent="0.25">
      <c r="A46" t="str">
        <f t="shared" si="0"/>
        <v>50,8 x 1,25</v>
      </c>
      <c r="B46">
        <v>50.8</v>
      </c>
      <c r="C46">
        <v>1.25</v>
      </c>
      <c r="D46">
        <v>0.16</v>
      </c>
      <c r="E46">
        <v>1.95</v>
      </c>
      <c r="F46">
        <v>1.53</v>
      </c>
      <c r="G46">
        <v>5.98</v>
      </c>
      <c r="H46">
        <v>2.35</v>
      </c>
      <c r="I46">
        <v>1.75</v>
      </c>
      <c r="J46">
        <v>3.07</v>
      </c>
      <c r="K46">
        <v>11.95</v>
      </c>
      <c r="L46">
        <v>4.82</v>
      </c>
    </row>
    <row r="47" spans="1:12" x14ac:dyDescent="0.25">
      <c r="A47" t="str">
        <f t="shared" si="0"/>
        <v>50,8 x 1,6</v>
      </c>
      <c r="B47">
        <v>50.8</v>
      </c>
      <c r="C47">
        <v>1.6</v>
      </c>
      <c r="D47">
        <v>0.16</v>
      </c>
      <c r="E47">
        <v>2.4700000000000002</v>
      </c>
      <c r="F47">
        <v>1.94</v>
      </c>
      <c r="G47">
        <v>7.49</v>
      </c>
      <c r="H47">
        <v>2.95</v>
      </c>
      <c r="I47">
        <v>1.74</v>
      </c>
      <c r="J47">
        <v>3.88</v>
      </c>
      <c r="K47">
        <v>14.98</v>
      </c>
      <c r="L47">
        <v>6.08</v>
      </c>
    </row>
    <row r="48" spans="1:12" x14ac:dyDescent="0.25">
      <c r="A48" t="str">
        <f t="shared" si="0"/>
        <v>50,8 x 2</v>
      </c>
      <c r="B48">
        <v>50.8</v>
      </c>
      <c r="C48">
        <v>2</v>
      </c>
      <c r="D48">
        <v>0.16</v>
      </c>
      <c r="E48">
        <v>3.07</v>
      </c>
      <c r="F48">
        <v>2.41</v>
      </c>
      <c r="G48">
        <v>9.14</v>
      </c>
      <c r="H48">
        <v>3.6</v>
      </c>
      <c r="I48">
        <v>1.73</v>
      </c>
      <c r="J48">
        <v>4.7699999999999996</v>
      </c>
      <c r="K48">
        <v>18.29</v>
      </c>
      <c r="L48">
        <v>7.48</v>
      </c>
    </row>
    <row r="49" spans="1:12" x14ac:dyDescent="0.25">
      <c r="A49" t="str">
        <f t="shared" si="0"/>
        <v>50,8 x 2,5</v>
      </c>
      <c r="B49">
        <v>50.8</v>
      </c>
      <c r="C49">
        <v>2.5</v>
      </c>
      <c r="D49">
        <v>0.16</v>
      </c>
      <c r="E49">
        <v>3.79</v>
      </c>
      <c r="F49">
        <v>2.98</v>
      </c>
      <c r="G49">
        <v>11.09</v>
      </c>
      <c r="H49">
        <v>4.37</v>
      </c>
      <c r="I49">
        <v>1.71</v>
      </c>
      <c r="J49">
        <v>5.84</v>
      </c>
      <c r="K49">
        <v>22.18</v>
      </c>
      <c r="L49">
        <v>9.16</v>
      </c>
    </row>
    <row r="50" spans="1:12" x14ac:dyDescent="0.25">
      <c r="A50" t="str">
        <f t="shared" si="0"/>
        <v>50,8 x 3,2</v>
      </c>
      <c r="B50">
        <v>50.8</v>
      </c>
      <c r="C50">
        <v>3.2</v>
      </c>
      <c r="D50">
        <v>0.16</v>
      </c>
      <c r="E50">
        <v>4.79</v>
      </c>
      <c r="F50">
        <v>3.76</v>
      </c>
      <c r="G50">
        <v>13.61</v>
      </c>
      <c r="H50">
        <v>5.36</v>
      </c>
      <c r="I50">
        <v>1.69</v>
      </c>
      <c r="J50">
        <v>7.26</v>
      </c>
      <c r="K50">
        <v>27.23</v>
      </c>
      <c r="L50">
        <v>10.72</v>
      </c>
    </row>
    <row r="51" spans="1:12" x14ac:dyDescent="0.25">
      <c r="A51" t="str">
        <f t="shared" si="0"/>
        <v>57,15 x 0,9</v>
      </c>
      <c r="B51">
        <v>57.15</v>
      </c>
      <c r="C51">
        <v>0.9</v>
      </c>
      <c r="D51">
        <v>0.18</v>
      </c>
      <c r="E51">
        <v>1.59</v>
      </c>
      <c r="F51">
        <v>1.25</v>
      </c>
      <c r="G51">
        <v>6.29</v>
      </c>
      <c r="H51">
        <v>2.2000000000000002</v>
      </c>
      <c r="I51">
        <v>1.99</v>
      </c>
      <c r="J51">
        <v>2.85</v>
      </c>
      <c r="K51">
        <v>12.58</v>
      </c>
      <c r="L51">
        <v>4.47</v>
      </c>
    </row>
    <row r="52" spans="1:12" x14ac:dyDescent="0.25">
      <c r="A52" t="str">
        <f t="shared" si="0"/>
        <v>57,15 x 1,25</v>
      </c>
      <c r="B52">
        <v>57.15</v>
      </c>
      <c r="C52">
        <v>1.25</v>
      </c>
      <c r="D52">
        <v>0.18</v>
      </c>
      <c r="E52">
        <v>2.2000000000000002</v>
      </c>
      <c r="F52">
        <v>1.72</v>
      </c>
      <c r="G52">
        <v>8.58</v>
      </c>
      <c r="H52">
        <v>3</v>
      </c>
      <c r="I52">
        <v>1.98</v>
      </c>
      <c r="J52">
        <v>3.91</v>
      </c>
      <c r="K52">
        <v>17.16</v>
      </c>
      <c r="L52">
        <v>6.13</v>
      </c>
    </row>
    <row r="53" spans="1:12" x14ac:dyDescent="0.25">
      <c r="A53" t="str">
        <f t="shared" si="0"/>
        <v>57,15 x 1,6</v>
      </c>
      <c r="B53">
        <v>57.15</v>
      </c>
      <c r="C53">
        <v>1.6</v>
      </c>
      <c r="D53">
        <v>0.18</v>
      </c>
      <c r="E53">
        <v>2.79</v>
      </c>
      <c r="F53">
        <v>2.19</v>
      </c>
      <c r="G53">
        <v>10.78</v>
      </c>
      <c r="H53">
        <v>3.77</v>
      </c>
      <c r="I53">
        <v>1.96</v>
      </c>
      <c r="J53">
        <v>4.9400000000000004</v>
      </c>
      <c r="K53">
        <v>21.56</v>
      </c>
      <c r="L53">
        <v>7.75</v>
      </c>
    </row>
    <row r="54" spans="1:12" x14ac:dyDescent="0.25">
      <c r="A54" t="str">
        <f t="shared" si="0"/>
        <v>57,15 x 2</v>
      </c>
      <c r="B54">
        <v>57.15</v>
      </c>
      <c r="C54">
        <v>2</v>
      </c>
      <c r="D54">
        <v>0.18</v>
      </c>
      <c r="E54">
        <v>3.47</v>
      </c>
      <c r="F54">
        <v>2.72</v>
      </c>
      <c r="G54">
        <v>13.19</v>
      </c>
      <c r="H54">
        <v>4.62</v>
      </c>
      <c r="I54">
        <v>1.95</v>
      </c>
      <c r="J54">
        <v>6.09</v>
      </c>
      <c r="K54">
        <v>26.38</v>
      </c>
      <c r="L54">
        <v>9.5500000000000007</v>
      </c>
    </row>
    <row r="55" spans="1:12" x14ac:dyDescent="0.25">
      <c r="A55" t="str">
        <f t="shared" si="0"/>
        <v>57,15 x 2,5</v>
      </c>
      <c r="B55">
        <v>57.15</v>
      </c>
      <c r="C55">
        <v>2.5</v>
      </c>
      <c r="D55">
        <v>0.18</v>
      </c>
      <c r="E55">
        <v>4.29</v>
      </c>
      <c r="F55">
        <v>3.37</v>
      </c>
      <c r="G55">
        <v>16.059999999999999</v>
      </c>
      <c r="H55">
        <v>5.62</v>
      </c>
      <c r="I55">
        <v>1.93</v>
      </c>
      <c r="J55">
        <v>7.47</v>
      </c>
      <c r="K55">
        <v>32.11</v>
      </c>
      <c r="L55">
        <v>11.72</v>
      </c>
    </row>
    <row r="56" spans="1:12" x14ac:dyDescent="0.25">
      <c r="A56" t="str">
        <f t="shared" si="0"/>
        <v>57,15 x 3,2</v>
      </c>
      <c r="B56">
        <v>57.15</v>
      </c>
      <c r="C56">
        <v>3.2</v>
      </c>
      <c r="D56">
        <v>0.18</v>
      </c>
      <c r="E56">
        <v>5.42</v>
      </c>
      <c r="F56">
        <v>4.26</v>
      </c>
      <c r="G56">
        <v>19.8</v>
      </c>
      <c r="H56">
        <v>6.93</v>
      </c>
      <c r="I56">
        <v>1.91</v>
      </c>
      <c r="J56">
        <v>9.33</v>
      </c>
      <c r="K56">
        <v>39.6</v>
      </c>
      <c r="L56">
        <v>13.86</v>
      </c>
    </row>
    <row r="57" spans="1:12" x14ac:dyDescent="0.25">
      <c r="A57" t="str">
        <f t="shared" si="0"/>
        <v>63,5 x 1,25</v>
      </c>
      <c r="B57">
        <v>63.5</v>
      </c>
      <c r="C57">
        <v>1.25</v>
      </c>
      <c r="D57">
        <v>0.2</v>
      </c>
      <c r="E57">
        <v>2.44</v>
      </c>
      <c r="F57">
        <v>1.92</v>
      </c>
      <c r="G57">
        <v>11.85</v>
      </c>
      <c r="H57">
        <v>3.73</v>
      </c>
      <c r="I57">
        <v>2.2000000000000002</v>
      </c>
      <c r="J57">
        <v>4.8499999999999996</v>
      </c>
      <c r="K57">
        <v>23.69</v>
      </c>
      <c r="L57">
        <v>7.6</v>
      </c>
    </row>
    <row r="58" spans="1:12" x14ac:dyDescent="0.25">
      <c r="A58" t="str">
        <f t="shared" si="0"/>
        <v>63,5 x 1,6</v>
      </c>
      <c r="B58">
        <v>63.5</v>
      </c>
      <c r="C58">
        <v>1.6</v>
      </c>
      <c r="D58">
        <v>0.2</v>
      </c>
      <c r="E58">
        <v>3.11</v>
      </c>
      <c r="F58">
        <v>2.44</v>
      </c>
      <c r="G58">
        <v>14.91</v>
      </c>
      <c r="H58">
        <v>4.7</v>
      </c>
      <c r="I58">
        <v>2.19</v>
      </c>
      <c r="J58">
        <v>6.13</v>
      </c>
      <c r="K58">
        <v>29.82</v>
      </c>
      <c r="L58">
        <v>9.6300000000000008</v>
      </c>
    </row>
    <row r="59" spans="1:12" x14ac:dyDescent="0.25">
      <c r="A59" t="str">
        <f t="shared" si="0"/>
        <v>63,5 x 2</v>
      </c>
      <c r="B59">
        <v>63.5</v>
      </c>
      <c r="C59">
        <v>2</v>
      </c>
      <c r="D59">
        <v>0.2</v>
      </c>
      <c r="E59">
        <v>3.86</v>
      </c>
      <c r="F59">
        <v>3.03</v>
      </c>
      <c r="G59">
        <v>18.29</v>
      </c>
      <c r="H59">
        <v>5.76</v>
      </c>
      <c r="I59">
        <v>2.1800000000000002</v>
      </c>
      <c r="J59">
        <v>7.57</v>
      </c>
      <c r="K59">
        <v>36.58</v>
      </c>
      <c r="L59">
        <v>11.88</v>
      </c>
    </row>
    <row r="60" spans="1:12" x14ac:dyDescent="0.25">
      <c r="A60" t="str">
        <f t="shared" si="0"/>
        <v>63,5 x 2,5</v>
      </c>
      <c r="B60">
        <v>63.5</v>
      </c>
      <c r="C60">
        <v>2.5</v>
      </c>
      <c r="D60">
        <v>0.2</v>
      </c>
      <c r="E60">
        <v>4.79</v>
      </c>
      <c r="F60">
        <v>3.76</v>
      </c>
      <c r="G60">
        <v>22.32</v>
      </c>
      <c r="H60">
        <v>7.03</v>
      </c>
      <c r="I60">
        <v>2.16</v>
      </c>
      <c r="J60">
        <v>9.31</v>
      </c>
      <c r="K60">
        <v>44.64</v>
      </c>
      <c r="L60">
        <v>14.6</v>
      </c>
    </row>
    <row r="61" spans="1:12" x14ac:dyDescent="0.25">
      <c r="A61" t="str">
        <f t="shared" si="0"/>
        <v>63,5 x 3,2</v>
      </c>
      <c r="B61">
        <v>63.5</v>
      </c>
      <c r="C61">
        <v>3.2</v>
      </c>
      <c r="D61">
        <v>0.2</v>
      </c>
      <c r="E61">
        <v>6.06</v>
      </c>
      <c r="F61">
        <v>4.76</v>
      </c>
      <c r="G61">
        <v>27.63</v>
      </c>
      <c r="H61">
        <v>8.6999999999999993</v>
      </c>
      <c r="I61">
        <v>2.13</v>
      </c>
      <c r="J61">
        <v>11.65</v>
      </c>
      <c r="K61">
        <v>55.26</v>
      </c>
      <c r="L61">
        <v>17.399999999999999</v>
      </c>
    </row>
    <row r="62" spans="1:12" x14ac:dyDescent="0.25">
      <c r="A62" t="str">
        <f t="shared" si="0"/>
        <v>63,5 x 4</v>
      </c>
      <c r="B62">
        <v>63.5</v>
      </c>
      <c r="C62">
        <v>4</v>
      </c>
      <c r="D62">
        <v>0.2</v>
      </c>
      <c r="E62">
        <v>7.48</v>
      </c>
      <c r="F62">
        <v>5.87</v>
      </c>
      <c r="G62">
        <v>33.24</v>
      </c>
      <c r="H62">
        <v>10.47</v>
      </c>
      <c r="I62">
        <v>2.11</v>
      </c>
      <c r="J62">
        <v>14.19</v>
      </c>
      <c r="K62">
        <v>66.47</v>
      </c>
      <c r="L62">
        <v>20.94</v>
      </c>
    </row>
    <row r="63" spans="1:12" x14ac:dyDescent="0.25">
      <c r="A63" t="str">
        <f t="shared" si="0"/>
        <v>76,2 x 1,6</v>
      </c>
      <c r="B63">
        <v>76.2</v>
      </c>
      <c r="C63">
        <v>1.6</v>
      </c>
      <c r="D63">
        <v>0.24</v>
      </c>
      <c r="E63">
        <v>3.75</v>
      </c>
      <c r="F63">
        <v>2.94</v>
      </c>
      <c r="G63">
        <v>26.1</v>
      </c>
      <c r="H63">
        <v>6.85</v>
      </c>
      <c r="I63">
        <v>2.64</v>
      </c>
      <c r="J63">
        <v>8.91</v>
      </c>
      <c r="K63">
        <v>52.19</v>
      </c>
      <c r="L63">
        <v>13.98</v>
      </c>
    </row>
    <row r="64" spans="1:12" x14ac:dyDescent="0.25">
      <c r="A64" t="str">
        <f t="shared" si="0"/>
        <v>76,2 x 2</v>
      </c>
      <c r="B64">
        <v>76.2</v>
      </c>
      <c r="C64">
        <v>2</v>
      </c>
      <c r="D64">
        <v>0.24</v>
      </c>
      <c r="E64">
        <v>4.66</v>
      </c>
      <c r="F64">
        <v>3.66</v>
      </c>
      <c r="G64">
        <v>32.11</v>
      </c>
      <c r="H64">
        <v>8.43</v>
      </c>
      <c r="I64">
        <v>2.62</v>
      </c>
      <c r="J64">
        <v>11.02</v>
      </c>
      <c r="K64">
        <v>64.22</v>
      </c>
      <c r="L64">
        <v>17.29</v>
      </c>
    </row>
    <row r="65" spans="1:12" x14ac:dyDescent="0.25">
      <c r="A65" t="str">
        <f t="shared" si="0"/>
        <v>76,2 x 2,5</v>
      </c>
      <c r="B65">
        <v>76.2</v>
      </c>
      <c r="C65">
        <v>2.5</v>
      </c>
      <c r="D65">
        <v>0.24</v>
      </c>
      <c r="E65">
        <v>5.79</v>
      </c>
      <c r="F65">
        <v>4.54</v>
      </c>
      <c r="G65">
        <v>39.35</v>
      </c>
      <c r="H65">
        <v>10.33</v>
      </c>
      <c r="I65">
        <v>2.61</v>
      </c>
      <c r="J65">
        <v>13.59</v>
      </c>
      <c r="K65">
        <v>78.69</v>
      </c>
      <c r="L65">
        <v>21.32</v>
      </c>
    </row>
    <row r="66" spans="1:12" x14ac:dyDescent="0.25">
      <c r="A66" t="str">
        <f t="shared" si="0"/>
        <v>76,2 x 3,2</v>
      </c>
      <c r="B66">
        <v>76.2</v>
      </c>
      <c r="C66">
        <v>3.2</v>
      </c>
      <c r="D66">
        <v>0.24</v>
      </c>
      <c r="E66">
        <v>7.34</v>
      </c>
      <c r="F66">
        <v>5.76</v>
      </c>
      <c r="G66">
        <v>48.98</v>
      </c>
      <c r="H66">
        <v>12.86</v>
      </c>
      <c r="I66">
        <v>2.58</v>
      </c>
      <c r="J66">
        <v>17.07</v>
      </c>
      <c r="K66">
        <v>97.96</v>
      </c>
      <c r="L66">
        <v>26.77</v>
      </c>
    </row>
    <row r="67" spans="1:12" x14ac:dyDescent="0.25">
      <c r="A67" t="str">
        <f t="shared" si="0"/>
        <v>76,2 x 4</v>
      </c>
      <c r="B67">
        <v>76.2</v>
      </c>
      <c r="C67">
        <v>4</v>
      </c>
      <c r="D67">
        <v>0.24</v>
      </c>
      <c r="E67">
        <v>9.07</v>
      </c>
      <c r="F67">
        <v>7.12</v>
      </c>
      <c r="G67">
        <v>59.3</v>
      </c>
      <c r="H67">
        <v>15.56</v>
      </c>
      <c r="I67">
        <v>2.56</v>
      </c>
      <c r="J67">
        <v>20.88</v>
      </c>
      <c r="K67">
        <v>118.6</v>
      </c>
      <c r="L67">
        <v>31.13</v>
      </c>
    </row>
    <row r="68" spans="1:12" x14ac:dyDescent="0.25">
      <c r="A68" t="str">
        <f t="shared" ref="A68:A131" si="1">+_xlfn.CONCAT(B68," x ",C68)</f>
        <v>76,2 x 4,76</v>
      </c>
      <c r="B68">
        <v>76.2</v>
      </c>
      <c r="C68">
        <v>4.76</v>
      </c>
      <c r="D68">
        <v>0.24</v>
      </c>
      <c r="E68">
        <v>10.68</v>
      </c>
      <c r="F68">
        <v>8.39</v>
      </c>
      <c r="G68">
        <v>68.459999999999994</v>
      </c>
      <c r="H68">
        <v>17.97</v>
      </c>
      <c r="I68">
        <v>2.5299999999999998</v>
      </c>
      <c r="J68">
        <v>24.33</v>
      </c>
      <c r="K68">
        <v>136.91</v>
      </c>
      <c r="L68">
        <v>35.93</v>
      </c>
    </row>
    <row r="69" spans="1:12" x14ac:dyDescent="0.25">
      <c r="A69" t="str">
        <f t="shared" si="1"/>
        <v>88,9 x 2,5</v>
      </c>
      <c r="B69">
        <v>88.9</v>
      </c>
      <c r="C69">
        <v>2.5</v>
      </c>
      <c r="D69">
        <v>0.28000000000000003</v>
      </c>
      <c r="E69">
        <v>6.79</v>
      </c>
      <c r="F69">
        <v>5.33</v>
      </c>
      <c r="G69">
        <v>63.37</v>
      </c>
      <c r="H69">
        <v>14.26</v>
      </c>
      <c r="I69">
        <v>3.06</v>
      </c>
      <c r="J69">
        <v>18.670000000000002</v>
      </c>
      <c r="K69">
        <v>126.75</v>
      </c>
      <c r="L69">
        <v>29.3</v>
      </c>
    </row>
    <row r="70" spans="1:12" x14ac:dyDescent="0.25">
      <c r="A70" t="str">
        <f t="shared" si="1"/>
        <v>88,9 x 3,2</v>
      </c>
      <c r="B70">
        <v>88.9</v>
      </c>
      <c r="C70">
        <v>3.2</v>
      </c>
      <c r="D70">
        <v>0.28000000000000003</v>
      </c>
      <c r="E70">
        <v>8.6199999999999992</v>
      </c>
      <c r="F70">
        <v>6.76</v>
      </c>
      <c r="G70">
        <v>79.209999999999994</v>
      </c>
      <c r="H70">
        <v>17.82</v>
      </c>
      <c r="I70">
        <v>3.03</v>
      </c>
      <c r="J70">
        <v>23.52</v>
      </c>
      <c r="K70">
        <v>158.41</v>
      </c>
      <c r="L70">
        <v>36.9</v>
      </c>
    </row>
    <row r="71" spans="1:12" x14ac:dyDescent="0.25">
      <c r="A71" t="str">
        <f t="shared" si="1"/>
        <v>88,9 x 4</v>
      </c>
      <c r="B71">
        <v>88.9</v>
      </c>
      <c r="C71">
        <v>4</v>
      </c>
      <c r="D71">
        <v>0.28000000000000003</v>
      </c>
      <c r="E71">
        <v>10.67</v>
      </c>
      <c r="F71">
        <v>8.3800000000000008</v>
      </c>
      <c r="G71">
        <v>96.34</v>
      </c>
      <c r="H71">
        <v>21.67</v>
      </c>
      <c r="I71">
        <v>3</v>
      </c>
      <c r="J71">
        <v>28.86</v>
      </c>
      <c r="K71">
        <v>192.68</v>
      </c>
      <c r="L71">
        <v>45.27</v>
      </c>
    </row>
    <row r="72" spans="1:12" x14ac:dyDescent="0.25">
      <c r="A72" t="str">
        <f t="shared" si="1"/>
        <v>88,9 x 4,76</v>
      </c>
      <c r="B72">
        <v>88.9</v>
      </c>
      <c r="C72">
        <v>4.76</v>
      </c>
      <c r="D72">
        <v>0.28000000000000003</v>
      </c>
      <c r="E72">
        <v>12.58</v>
      </c>
      <c r="F72">
        <v>9.8800000000000008</v>
      </c>
      <c r="G72">
        <v>111.7</v>
      </c>
      <c r="H72">
        <v>25.13</v>
      </c>
      <c r="I72">
        <v>2.98</v>
      </c>
      <c r="J72">
        <v>33.74</v>
      </c>
      <c r="K72">
        <v>223.4</v>
      </c>
      <c r="L72">
        <v>50.26</v>
      </c>
    </row>
    <row r="73" spans="1:12" x14ac:dyDescent="0.25">
      <c r="A73" t="str">
        <f t="shared" si="1"/>
        <v>88,9 x 5,5</v>
      </c>
      <c r="B73">
        <v>88.9</v>
      </c>
      <c r="C73">
        <v>5.5</v>
      </c>
      <c r="D73">
        <v>0.28000000000000003</v>
      </c>
      <c r="E73">
        <v>14.41</v>
      </c>
      <c r="F73">
        <v>11.31</v>
      </c>
      <c r="G73">
        <v>125.84</v>
      </c>
      <c r="H73">
        <v>28.31</v>
      </c>
      <c r="I73">
        <v>2.96</v>
      </c>
      <c r="J73">
        <v>38.32</v>
      </c>
      <c r="K73">
        <v>251.67</v>
      </c>
      <c r="L73">
        <v>56.62</v>
      </c>
    </row>
    <row r="74" spans="1:12" x14ac:dyDescent="0.25">
      <c r="A74" t="str">
        <f t="shared" si="1"/>
        <v>88,9 x 6,35</v>
      </c>
      <c r="B74">
        <v>88.9</v>
      </c>
      <c r="C74">
        <v>6.35</v>
      </c>
      <c r="D74">
        <v>0.28000000000000003</v>
      </c>
      <c r="E74">
        <v>16.47</v>
      </c>
      <c r="F74">
        <v>12.93</v>
      </c>
      <c r="G74">
        <v>141.11000000000001</v>
      </c>
      <c r="H74">
        <v>31.74</v>
      </c>
      <c r="I74">
        <v>2.93</v>
      </c>
      <c r="J74">
        <v>43.37</v>
      </c>
      <c r="K74">
        <v>282.20999999999998</v>
      </c>
      <c r="L74">
        <v>63.49</v>
      </c>
    </row>
    <row r="75" spans="1:12" x14ac:dyDescent="0.25">
      <c r="A75" t="str">
        <f t="shared" si="1"/>
        <v>101,6 x 2</v>
      </c>
      <c r="B75">
        <v>101.6</v>
      </c>
      <c r="C75">
        <v>2</v>
      </c>
      <c r="D75">
        <v>0.32</v>
      </c>
      <c r="E75">
        <v>6.26</v>
      </c>
      <c r="F75">
        <v>4.91</v>
      </c>
      <c r="G75">
        <v>77.63</v>
      </c>
      <c r="H75">
        <v>15.28</v>
      </c>
      <c r="I75">
        <v>3.52</v>
      </c>
      <c r="J75">
        <v>19.850000000000001</v>
      </c>
      <c r="K75">
        <v>155.26</v>
      </c>
      <c r="L75">
        <v>31.15</v>
      </c>
    </row>
    <row r="76" spans="1:12" x14ac:dyDescent="0.25">
      <c r="A76" t="str">
        <f t="shared" si="1"/>
        <v>101,6 x 2,5</v>
      </c>
      <c r="B76">
        <v>101.6</v>
      </c>
      <c r="C76">
        <v>2.5</v>
      </c>
      <c r="D76">
        <v>0.32</v>
      </c>
      <c r="E76">
        <v>7.78</v>
      </c>
      <c r="F76">
        <v>6.11</v>
      </c>
      <c r="G76">
        <v>95.61</v>
      </c>
      <c r="H76">
        <v>18.82</v>
      </c>
      <c r="I76">
        <v>3.5</v>
      </c>
      <c r="J76">
        <v>24.56</v>
      </c>
      <c r="K76">
        <v>191.22</v>
      </c>
      <c r="L76">
        <v>38.549999999999997</v>
      </c>
    </row>
    <row r="77" spans="1:12" x14ac:dyDescent="0.25">
      <c r="A77" t="str">
        <f t="shared" si="1"/>
        <v>101,6 x 3,2</v>
      </c>
      <c r="B77">
        <v>101.6</v>
      </c>
      <c r="C77">
        <v>3.2</v>
      </c>
      <c r="D77">
        <v>0.32</v>
      </c>
      <c r="E77">
        <v>9.89</v>
      </c>
      <c r="F77">
        <v>7.77</v>
      </c>
      <c r="G77">
        <v>119.85</v>
      </c>
      <c r="H77">
        <v>23.59</v>
      </c>
      <c r="I77">
        <v>3.48</v>
      </c>
      <c r="J77">
        <v>31</v>
      </c>
      <c r="K77">
        <v>239.71</v>
      </c>
      <c r="L77">
        <v>48.65</v>
      </c>
    </row>
    <row r="78" spans="1:12" x14ac:dyDescent="0.25">
      <c r="A78" t="str">
        <f t="shared" si="1"/>
        <v>101,6 x 4</v>
      </c>
      <c r="B78">
        <v>101.6</v>
      </c>
      <c r="C78">
        <v>4</v>
      </c>
      <c r="D78">
        <v>0.32</v>
      </c>
      <c r="E78">
        <v>12.26</v>
      </c>
      <c r="F78">
        <v>9.6300000000000008</v>
      </c>
      <c r="G78">
        <v>146.28</v>
      </c>
      <c r="H78">
        <v>28.8</v>
      </c>
      <c r="I78">
        <v>3.45</v>
      </c>
      <c r="J78">
        <v>38.130000000000003</v>
      </c>
      <c r="K78">
        <v>292.57</v>
      </c>
      <c r="L78">
        <v>59.82</v>
      </c>
    </row>
    <row r="79" spans="1:12" x14ac:dyDescent="0.25">
      <c r="A79" t="str">
        <f t="shared" si="1"/>
        <v>101,6 x 4,76</v>
      </c>
      <c r="B79">
        <v>101.6</v>
      </c>
      <c r="C79">
        <v>4.76</v>
      </c>
      <c r="D79">
        <v>0.32</v>
      </c>
      <c r="E79">
        <v>14.48</v>
      </c>
      <c r="F79">
        <v>11.37</v>
      </c>
      <c r="G79">
        <v>170.17</v>
      </c>
      <c r="H79">
        <v>33.5</v>
      </c>
      <c r="I79">
        <v>3.43</v>
      </c>
      <c r="J79">
        <v>44.68</v>
      </c>
      <c r="K79">
        <v>340.33</v>
      </c>
      <c r="L79">
        <v>70.08</v>
      </c>
    </row>
    <row r="80" spans="1:12" x14ac:dyDescent="0.25">
      <c r="A80" t="str">
        <f t="shared" si="1"/>
        <v>101,6 x 6,35</v>
      </c>
      <c r="B80">
        <v>101.6</v>
      </c>
      <c r="C80">
        <v>6.35</v>
      </c>
      <c r="D80">
        <v>0.32</v>
      </c>
      <c r="E80">
        <v>19</v>
      </c>
      <c r="F80">
        <v>14.92</v>
      </c>
      <c r="G80">
        <v>216.45</v>
      </c>
      <c r="H80">
        <v>42.61</v>
      </c>
      <c r="I80">
        <v>3.38</v>
      </c>
      <c r="J80">
        <v>57.71</v>
      </c>
      <c r="K80">
        <v>432.89</v>
      </c>
      <c r="L80">
        <v>85.22</v>
      </c>
    </row>
    <row r="81" spans="1:12" x14ac:dyDescent="0.25">
      <c r="A81" t="str">
        <f t="shared" si="1"/>
        <v>127 x 2,5</v>
      </c>
      <c r="B81">
        <v>127</v>
      </c>
      <c r="C81">
        <v>2.5</v>
      </c>
      <c r="D81">
        <v>0.4</v>
      </c>
      <c r="E81">
        <v>9.7799999999999994</v>
      </c>
      <c r="F81">
        <v>7.68</v>
      </c>
      <c r="G81">
        <v>189.53</v>
      </c>
      <c r="H81">
        <v>29.85</v>
      </c>
      <c r="I81">
        <v>4.4000000000000004</v>
      </c>
      <c r="J81">
        <v>38.76</v>
      </c>
      <c r="K81">
        <v>379.06</v>
      </c>
      <c r="L81">
        <v>60.84</v>
      </c>
    </row>
    <row r="82" spans="1:12" x14ac:dyDescent="0.25">
      <c r="A82" t="str">
        <f t="shared" si="1"/>
        <v>127 x 3,2</v>
      </c>
      <c r="B82">
        <v>127</v>
      </c>
      <c r="C82">
        <v>3.2</v>
      </c>
      <c r="D82">
        <v>0.4</v>
      </c>
      <c r="E82">
        <v>12.45</v>
      </c>
      <c r="F82">
        <v>9.77</v>
      </c>
      <c r="G82">
        <v>238.59</v>
      </c>
      <c r="H82">
        <v>37.57</v>
      </c>
      <c r="I82">
        <v>4.38</v>
      </c>
      <c r="J82">
        <v>49.07</v>
      </c>
      <c r="K82">
        <v>477.19</v>
      </c>
      <c r="L82">
        <v>77</v>
      </c>
    </row>
    <row r="83" spans="1:12" x14ac:dyDescent="0.25">
      <c r="A83" t="str">
        <f t="shared" si="1"/>
        <v>127 x 4</v>
      </c>
      <c r="B83">
        <v>127</v>
      </c>
      <c r="C83">
        <v>4</v>
      </c>
      <c r="D83">
        <v>0.4</v>
      </c>
      <c r="E83">
        <v>15.46</v>
      </c>
      <c r="F83">
        <v>12.13</v>
      </c>
      <c r="G83">
        <v>292.61</v>
      </c>
      <c r="H83">
        <v>46.08</v>
      </c>
      <c r="I83">
        <v>4.3499999999999996</v>
      </c>
      <c r="J83">
        <v>60.55</v>
      </c>
      <c r="K83">
        <v>585.22</v>
      </c>
      <c r="L83">
        <v>95.01</v>
      </c>
    </row>
    <row r="84" spans="1:12" x14ac:dyDescent="0.25">
      <c r="A84" t="str">
        <f t="shared" si="1"/>
        <v>127 x 4,75</v>
      </c>
      <c r="B84">
        <v>127</v>
      </c>
      <c r="C84">
        <v>4.75</v>
      </c>
      <c r="D84">
        <v>0.4</v>
      </c>
      <c r="E84">
        <v>18.239999999999998</v>
      </c>
      <c r="F84">
        <v>14.32</v>
      </c>
      <c r="G84">
        <v>341.31</v>
      </c>
      <c r="H84">
        <v>53.75</v>
      </c>
      <c r="I84">
        <v>4.33</v>
      </c>
      <c r="J84">
        <v>71.040000000000006</v>
      </c>
      <c r="K84">
        <v>682.62</v>
      </c>
      <c r="L84">
        <v>111.45</v>
      </c>
    </row>
    <row r="85" spans="1:12" x14ac:dyDescent="0.25">
      <c r="A85" t="str">
        <f t="shared" si="1"/>
        <v>127 x 6,35</v>
      </c>
      <c r="B85">
        <v>127</v>
      </c>
      <c r="C85">
        <v>6.35</v>
      </c>
      <c r="D85">
        <v>0.4</v>
      </c>
      <c r="E85">
        <v>24.07</v>
      </c>
      <c r="F85">
        <v>18.89</v>
      </c>
      <c r="G85">
        <v>439.15</v>
      </c>
      <c r="H85">
        <v>69.16</v>
      </c>
      <c r="I85">
        <v>4.2699999999999996</v>
      </c>
      <c r="J85">
        <v>92.54</v>
      </c>
      <c r="K85">
        <v>878.3</v>
      </c>
      <c r="L85">
        <v>145.12</v>
      </c>
    </row>
    <row r="86" spans="1:12" x14ac:dyDescent="0.25">
      <c r="A86" t="str">
        <f t="shared" si="1"/>
        <v>168,3 x 3,2</v>
      </c>
      <c r="B86">
        <v>168.3</v>
      </c>
      <c r="C86">
        <v>3.2</v>
      </c>
      <c r="D86">
        <v>0.53</v>
      </c>
      <c r="E86">
        <v>16.600000000000001</v>
      </c>
      <c r="F86">
        <v>13.03</v>
      </c>
      <c r="G86">
        <v>565.73</v>
      </c>
      <c r="H86">
        <v>67.23</v>
      </c>
      <c r="I86">
        <v>5.84</v>
      </c>
      <c r="J86">
        <v>87.25</v>
      </c>
      <c r="K86">
        <v>1131.46</v>
      </c>
      <c r="L86">
        <v>136.94</v>
      </c>
    </row>
    <row r="87" spans="1:12" x14ac:dyDescent="0.25">
      <c r="A87" t="str">
        <f t="shared" si="1"/>
        <v>168,3 x 4</v>
      </c>
      <c r="B87">
        <v>168.3</v>
      </c>
      <c r="C87">
        <v>4</v>
      </c>
      <c r="D87">
        <v>0.53</v>
      </c>
      <c r="E87">
        <v>20.65</v>
      </c>
      <c r="F87">
        <v>16.21</v>
      </c>
      <c r="G87">
        <v>697.09</v>
      </c>
      <c r="H87">
        <v>82.84</v>
      </c>
      <c r="I87">
        <v>5.81</v>
      </c>
      <c r="J87">
        <v>108.02</v>
      </c>
      <c r="K87">
        <v>1394.17</v>
      </c>
      <c r="L87">
        <v>169.53</v>
      </c>
    </row>
    <row r="88" spans="1:12" x14ac:dyDescent="0.25">
      <c r="A88" t="str">
        <f t="shared" si="1"/>
        <v>168,3 x 4,75</v>
      </c>
      <c r="B88">
        <v>168.3</v>
      </c>
      <c r="C88">
        <v>4.75</v>
      </c>
      <c r="D88">
        <v>0.53</v>
      </c>
      <c r="E88">
        <v>24.41</v>
      </c>
      <c r="F88">
        <v>19.16</v>
      </c>
      <c r="G88">
        <v>816.71</v>
      </c>
      <c r="H88">
        <v>97.05</v>
      </c>
      <c r="I88">
        <v>5.78</v>
      </c>
      <c r="J88">
        <v>127.12</v>
      </c>
      <c r="K88">
        <v>1633.42</v>
      </c>
      <c r="L88">
        <v>199.48</v>
      </c>
    </row>
    <row r="89" spans="1:12" x14ac:dyDescent="0.25">
      <c r="A89" t="str">
        <f t="shared" si="1"/>
        <v>168,3 x 6,35</v>
      </c>
      <c r="B89">
        <v>168.3</v>
      </c>
      <c r="C89">
        <v>6.35</v>
      </c>
      <c r="D89">
        <v>0.53</v>
      </c>
      <c r="E89">
        <v>32.31</v>
      </c>
      <c r="F89">
        <v>25.36</v>
      </c>
      <c r="G89">
        <v>1060.82</v>
      </c>
      <c r="H89">
        <v>126.06</v>
      </c>
      <c r="I89">
        <v>5.73</v>
      </c>
      <c r="J89">
        <v>166.67</v>
      </c>
      <c r="K89">
        <v>2121.63</v>
      </c>
      <c r="L89">
        <v>261.48</v>
      </c>
    </row>
    <row r="90" spans="1:12" x14ac:dyDescent="0.25">
      <c r="A90" t="str">
        <f t="shared" si="1"/>
        <v>168,3 x 7,1</v>
      </c>
      <c r="B90">
        <v>168.3</v>
      </c>
      <c r="C90">
        <v>7.1</v>
      </c>
      <c r="D90">
        <v>0.53</v>
      </c>
      <c r="E90">
        <v>35.96</v>
      </c>
      <c r="F90">
        <v>28.23</v>
      </c>
      <c r="G90">
        <v>1170.18</v>
      </c>
      <c r="H90">
        <v>139.06</v>
      </c>
      <c r="I90">
        <v>5.7</v>
      </c>
      <c r="J90">
        <v>184.65</v>
      </c>
      <c r="K90">
        <v>2340.35</v>
      </c>
      <c r="L90">
        <v>289.66000000000003</v>
      </c>
    </row>
    <row r="91" spans="1:12" x14ac:dyDescent="0.25">
      <c r="A91" t="str">
        <f t="shared" si="1"/>
        <v>219,1 x 4</v>
      </c>
      <c r="B91">
        <v>219.1</v>
      </c>
      <c r="C91">
        <v>4</v>
      </c>
      <c r="D91">
        <v>0.69</v>
      </c>
      <c r="E91">
        <v>27.06</v>
      </c>
      <c r="F91">
        <v>21.24</v>
      </c>
      <c r="G91">
        <v>1568.19</v>
      </c>
      <c r="H91">
        <v>143.02000000000001</v>
      </c>
      <c r="I91">
        <v>7.61</v>
      </c>
      <c r="J91">
        <v>185.47</v>
      </c>
      <c r="K91">
        <v>3136.38</v>
      </c>
      <c r="L91">
        <v>291.10000000000002</v>
      </c>
    </row>
    <row r="92" spans="1:12" x14ac:dyDescent="0.25">
      <c r="A92" t="str">
        <f t="shared" si="1"/>
        <v>219,1 x 4,76</v>
      </c>
      <c r="B92">
        <v>219.1</v>
      </c>
      <c r="C92">
        <v>4.76</v>
      </c>
      <c r="D92">
        <v>0.69</v>
      </c>
      <c r="E92">
        <v>32.08</v>
      </c>
      <c r="F92">
        <v>25.18</v>
      </c>
      <c r="G92">
        <v>1846.72</v>
      </c>
      <c r="H92">
        <v>168.42</v>
      </c>
      <c r="I92">
        <v>7.59</v>
      </c>
      <c r="J92">
        <v>219.17</v>
      </c>
      <c r="K92">
        <v>3693.45</v>
      </c>
      <c r="L92">
        <v>343.97</v>
      </c>
    </row>
    <row r="93" spans="1:12" x14ac:dyDescent="0.25">
      <c r="A93" t="str">
        <f t="shared" si="1"/>
        <v>219,1 x 6,35</v>
      </c>
      <c r="B93">
        <v>219.1</v>
      </c>
      <c r="C93">
        <v>6.35</v>
      </c>
      <c r="D93">
        <v>0.69</v>
      </c>
      <c r="E93">
        <v>42.48</v>
      </c>
      <c r="F93">
        <v>33.35</v>
      </c>
      <c r="G93">
        <v>2410.1799999999998</v>
      </c>
      <c r="H93">
        <v>219.81</v>
      </c>
      <c r="I93">
        <v>7.53</v>
      </c>
      <c r="J93">
        <v>288.10000000000002</v>
      </c>
      <c r="K93">
        <v>4820.3599999999997</v>
      </c>
      <c r="L93">
        <v>452.09</v>
      </c>
    </row>
    <row r="94" spans="1:12" x14ac:dyDescent="0.25">
      <c r="A94" t="str">
        <f t="shared" si="1"/>
        <v>219,1 x 7,95</v>
      </c>
      <c r="B94">
        <v>219.1</v>
      </c>
      <c r="C94">
        <v>7.95</v>
      </c>
      <c r="D94">
        <v>0.69</v>
      </c>
      <c r="E94">
        <v>52.79</v>
      </c>
      <c r="F94">
        <v>41.44</v>
      </c>
      <c r="G94">
        <v>2951.51</v>
      </c>
      <c r="H94">
        <v>269.18</v>
      </c>
      <c r="I94">
        <v>7.48</v>
      </c>
      <c r="J94">
        <v>355.36</v>
      </c>
      <c r="K94">
        <v>5903.02</v>
      </c>
      <c r="L94">
        <v>557.53</v>
      </c>
    </row>
    <row r="95" spans="1:12" x14ac:dyDescent="0.25">
      <c r="A95" t="str">
        <f t="shared" si="1"/>
        <v>219,1 x 9,53</v>
      </c>
      <c r="B95">
        <v>219.1</v>
      </c>
      <c r="C95">
        <v>9.5299999999999994</v>
      </c>
      <c r="D95">
        <v>0.69</v>
      </c>
      <c r="E95">
        <v>62.8</v>
      </c>
      <c r="F95">
        <v>49.3</v>
      </c>
      <c r="G95">
        <v>3461.58</v>
      </c>
      <c r="H95">
        <v>315.69</v>
      </c>
      <c r="I95">
        <v>7.42</v>
      </c>
      <c r="J95">
        <v>419.73</v>
      </c>
      <c r="K95">
        <v>6923.17</v>
      </c>
      <c r="L95">
        <v>658.38</v>
      </c>
    </row>
    <row r="96" spans="1:12" x14ac:dyDescent="0.25">
      <c r="A96" t="str">
        <f t="shared" si="1"/>
        <v>219,1 x 11,1</v>
      </c>
      <c r="B96">
        <v>219.1</v>
      </c>
      <c r="C96">
        <v>11.1</v>
      </c>
      <c r="D96">
        <v>0.69</v>
      </c>
      <c r="E96">
        <v>72.599999999999994</v>
      </c>
      <c r="F96">
        <v>56.99</v>
      </c>
      <c r="G96">
        <v>3945.07</v>
      </c>
      <c r="H96">
        <v>359.79</v>
      </c>
      <c r="I96">
        <v>7.37</v>
      </c>
      <c r="J96">
        <v>481.71</v>
      </c>
      <c r="K96">
        <v>7890.13</v>
      </c>
      <c r="L96">
        <v>719.57</v>
      </c>
    </row>
    <row r="97" spans="1:12" x14ac:dyDescent="0.25">
      <c r="A97" t="str">
        <f t="shared" si="1"/>
        <v>219,1 x 12,7</v>
      </c>
      <c r="B97">
        <v>219.1</v>
      </c>
      <c r="C97">
        <v>12.7</v>
      </c>
      <c r="D97">
        <v>0.69</v>
      </c>
      <c r="E97">
        <v>82.43</v>
      </c>
      <c r="F97">
        <v>64.709999999999994</v>
      </c>
      <c r="G97">
        <v>4414.58</v>
      </c>
      <c r="H97">
        <v>402.61</v>
      </c>
      <c r="I97">
        <v>7.32</v>
      </c>
      <c r="J97">
        <v>542.87</v>
      </c>
      <c r="K97">
        <v>8829.15</v>
      </c>
      <c r="L97">
        <v>805.21</v>
      </c>
    </row>
    <row r="98" spans="1:12" x14ac:dyDescent="0.25">
      <c r="A98" t="str">
        <f t="shared" si="1"/>
        <v>273 x 6,35</v>
      </c>
      <c r="B98">
        <v>273</v>
      </c>
      <c r="C98">
        <v>6.35</v>
      </c>
      <c r="D98">
        <v>0.86</v>
      </c>
      <c r="E98">
        <v>53.19</v>
      </c>
      <c r="F98">
        <v>41.76</v>
      </c>
      <c r="G98">
        <v>4730.4399999999996</v>
      </c>
      <c r="H98">
        <v>346.55</v>
      </c>
      <c r="I98">
        <v>9.43</v>
      </c>
      <c r="J98">
        <v>451.67</v>
      </c>
      <c r="K98">
        <v>9460.8700000000008</v>
      </c>
      <c r="L98">
        <v>708.85</v>
      </c>
    </row>
    <row r="99" spans="1:12" x14ac:dyDescent="0.25">
      <c r="A99" t="str">
        <f t="shared" si="1"/>
        <v>273 x 7,95</v>
      </c>
      <c r="B99">
        <v>273</v>
      </c>
      <c r="C99">
        <v>7.95</v>
      </c>
      <c r="D99">
        <v>0.86</v>
      </c>
      <c r="E99">
        <v>66.2</v>
      </c>
      <c r="F99">
        <v>51.97</v>
      </c>
      <c r="G99">
        <v>5818.32</v>
      </c>
      <c r="H99">
        <v>426.25</v>
      </c>
      <c r="I99">
        <v>9.3800000000000008</v>
      </c>
      <c r="J99">
        <v>558.78</v>
      </c>
      <c r="K99">
        <v>11636.64</v>
      </c>
      <c r="L99">
        <v>876.84</v>
      </c>
    </row>
    <row r="100" spans="1:12" x14ac:dyDescent="0.25">
      <c r="A100" t="str">
        <f t="shared" si="1"/>
        <v>273 x 9,53</v>
      </c>
      <c r="B100">
        <v>273</v>
      </c>
      <c r="C100">
        <v>9.5299999999999994</v>
      </c>
      <c r="D100">
        <v>0.86</v>
      </c>
      <c r="E100">
        <v>78.88</v>
      </c>
      <c r="F100">
        <v>61.92</v>
      </c>
      <c r="G100">
        <v>6853.47</v>
      </c>
      <c r="H100">
        <v>502.09</v>
      </c>
      <c r="I100">
        <v>9.32</v>
      </c>
      <c r="J100">
        <v>661.96</v>
      </c>
      <c r="K100">
        <v>13706.95</v>
      </c>
      <c r="L100">
        <v>1038.6199999999999</v>
      </c>
    </row>
    <row r="101" spans="1:12" x14ac:dyDescent="0.25">
      <c r="A101" t="str">
        <f t="shared" si="1"/>
        <v>273 x 11,1</v>
      </c>
      <c r="B101">
        <v>273</v>
      </c>
      <c r="C101">
        <v>11.1</v>
      </c>
      <c r="D101">
        <v>0.86</v>
      </c>
      <c r="E101">
        <v>91.33</v>
      </c>
      <c r="F101">
        <v>71.69</v>
      </c>
      <c r="G101">
        <v>7844.5</v>
      </c>
      <c r="H101">
        <v>574.69000000000005</v>
      </c>
      <c r="I101">
        <v>9.27</v>
      </c>
      <c r="J101">
        <v>761.98</v>
      </c>
      <c r="K101">
        <v>15689</v>
      </c>
      <c r="L101">
        <v>1195.3499999999999</v>
      </c>
    </row>
    <row r="102" spans="1:12" x14ac:dyDescent="0.25">
      <c r="A102" t="str">
        <f t="shared" si="1"/>
        <v>273 x 12,7</v>
      </c>
      <c r="B102">
        <v>273</v>
      </c>
      <c r="C102">
        <v>12.7</v>
      </c>
      <c r="D102">
        <v>0.86</v>
      </c>
      <c r="E102">
        <v>103.86</v>
      </c>
      <c r="F102">
        <v>81.53</v>
      </c>
      <c r="G102">
        <v>8816.89</v>
      </c>
      <c r="H102">
        <v>645.92999999999995</v>
      </c>
      <c r="I102">
        <v>9.2100000000000009</v>
      </c>
      <c r="J102">
        <v>861.36</v>
      </c>
      <c r="K102">
        <v>17633.77</v>
      </c>
      <c r="L102">
        <v>1350.99</v>
      </c>
    </row>
    <row r="103" spans="1:12" x14ac:dyDescent="0.25">
      <c r="A103" t="str">
        <f t="shared" si="1"/>
        <v>323,8 x 6,35</v>
      </c>
      <c r="B103">
        <v>323.8</v>
      </c>
      <c r="C103">
        <v>6.35</v>
      </c>
      <c r="D103">
        <v>1.02</v>
      </c>
      <c r="E103">
        <v>63.33</v>
      </c>
      <c r="F103">
        <v>49.71</v>
      </c>
      <c r="G103">
        <v>7980.5</v>
      </c>
      <c r="H103">
        <v>492.9</v>
      </c>
      <c r="I103">
        <v>11.23</v>
      </c>
      <c r="J103">
        <v>640.1</v>
      </c>
      <c r="K103">
        <v>15961</v>
      </c>
      <c r="L103">
        <v>1004.7</v>
      </c>
    </row>
    <row r="104" spans="1:12" x14ac:dyDescent="0.25">
      <c r="A104" t="str">
        <f t="shared" si="1"/>
        <v>323,8 x 7,95</v>
      </c>
      <c r="B104">
        <v>323.8</v>
      </c>
      <c r="C104">
        <v>7.95</v>
      </c>
      <c r="D104">
        <v>1.02</v>
      </c>
      <c r="E104">
        <v>78.89</v>
      </c>
      <c r="F104">
        <v>61.93</v>
      </c>
      <c r="G104">
        <v>9843.2999999999993</v>
      </c>
      <c r="H104">
        <v>608</v>
      </c>
      <c r="I104">
        <v>11.17</v>
      </c>
      <c r="J104">
        <v>793.4</v>
      </c>
      <c r="K104">
        <v>19686.599999999999</v>
      </c>
      <c r="L104">
        <v>1245.2</v>
      </c>
    </row>
    <row r="105" spans="1:12" x14ac:dyDescent="0.25">
      <c r="A105" t="str">
        <f t="shared" si="1"/>
        <v>323,8 x 9,53</v>
      </c>
      <c r="B105">
        <v>323.8</v>
      </c>
      <c r="C105">
        <v>9.5299999999999994</v>
      </c>
      <c r="D105">
        <v>1.02</v>
      </c>
      <c r="E105">
        <v>94.09</v>
      </c>
      <c r="F105">
        <v>73.86</v>
      </c>
      <c r="G105">
        <v>11626.7</v>
      </c>
      <c r="H105">
        <v>718.1</v>
      </c>
      <c r="I105">
        <v>11.12</v>
      </c>
      <c r="J105">
        <v>941.7</v>
      </c>
      <c r="K105">
        <v>23253.4</v>
      </c>
      <c r="L105">
        <v>1477.7</v>
      </c>
    </row>
    <row r="106" spans="1:12" x14ac:dyDescent="0.25">
      <c r="A106" t="str">
        <f t="shared" si="1"/>
        <v>323,8 x 11,1</v>
      </c>
      <c r="B106">
        <v>323.8</v>
      </c>
      <c r="C106">
        <v>11.1</v>
      </c>
      <c r="D106">
        <v>1.02</v>
      </c>
      <c r="E106">
        <v>109.04</v>
      </c>
      <c r="F106">
        <v>85.6</v>
      </c>
      <c r="G106">
        <v>13344.7</v>
      </c>
      <c r="H106">
        <v>824.3</v>
      </c>
      <c r="I106">
        <v>11.06</v>
      </c>
      <c r="J106">
        <v>1086</v>
      </c>
      <c r="K106">
        <v>26689.5</v>
      </c>
      <c r="L106">
        <v>1704</v>
      </c>
    </row>
    <row r="107" spans="1:12" x14ac:dyDescent="0.25">
      <c r="A107" t="str">
        <f t="shared" si="1"/>
        <v>323,8 x 12,7</v>
      </c>
      <c r="B107">
        <v>323.8</v>
      </c>
      <c r="C107">
        <v>12.7</v>
      </c>
      <c r="D107">
        <v>1.02</v>
      </c>
      <c r="E107">
        <v>124.12</v>
      </c>
      <c r="F107">
        <v>97.44</v>
      </c>
      <c r="G107">
        <v>15041.2</v>
      </c>
      <c r="H107">
        <v>929</v>
      </c>
      <c r="I107">
        <v>11.01</v>
      </c>
      <c r="J107">
        <v>1230.0999999999999</v>
      </c>
      <c r="K107">
        <v>30082.5</v>
      </c>
      <c r="L107">
        <v>1929.8</v>
      </c>
    </row>
    <row r="108" spans="1:12" x14ac:dyDescent="0.25">
      <c r="A108" t="str">
        <f t="shared" si="1"/>
        <v>355,6 x 6,35</v>
      </c>
      <c r="B108">
        <v>355.6</v>
      </c>
      <c r="C108">
        <v>6.35</v>
      </c>
      <c r="D108">
        <v>1.1200000000000001</v>
      </c>
      <c r="E108">
        <v>69.67</v>
      </c>
      <c r="F108">
        <v>54.69</v>
      </c>
      <c r="G108">
        <v>10626.3</v>
      </c>
      <c r="H108">
        <v>597.70000000000005</v>
      </c>
      <c r="I108">
        <v>12.35</v>
      </c>
      <c r="J108">
        <v>774.8</v>
      </c>
      <c r="K108">
        <v>21252.6</v>
      </c>
      <c r="L108">
        <v>1216</v>
      </c>
    </row>
    <row r="109" spans="1:12" x14ac:dyDescent="0.25">
      <c r="A109" t="str">
        <f t="shared" si="1"/>
        <v>355,6 x 7,95</v>
      </c>
      <c r="B109">
        <v>355.6</v>
      </c>
      <c r="C109">
        <v>7.95</v>
      </c>
      <c r="D109">
        <v>1.1200000000000001</v>
      </c>
      <c r="E109">
        <v>86.83</v>
      </c>
      <c r="F109">
        <v>68.16</v>
      </c>
      <c r="G109">
        <v>13124.3</v>
      </c>
      <c r="H109">
        <v>738.2</v>
      </c>
      <c r="I109">
        <v>12.29</v>
      </c>
      <c r="J109">
        <v>961.2</v>
      </c>
      <c r="K109">
        <v>26248.7</v>
      </c>
      <c r="L109">
        <v>1508.5</v>
      </c>
    </row>
    <row r="110" spans="1:12" x14ac:dyDescent="0.25">
      <c r="A110" t="str">
        <f t="shared" si="1"/>
        <v>355,6 x 9,53</v>
      </c>
      <c r="B110">
        <v>355.6</v>
      </c>
      <c r="C110">
        <v>9.5299999999999994</v>
      </c>
      <c r="D110">
        <v>1.1200000000000001</v>
      </c>
      <c r="E110">
        <v>103.61</v>
      </c>
      <c r="F110">
        <v>81.33</v>
      </c>
      <c r="G110">
        <v>15522.8</v>
      </c>
      <c r="H110">
        <v>873</v>
      </c>
      <c r="I110">
        <v>12.24</v>
      </c>
      <c r="J110">
        <v>1141.9000000000001</v>
      </c>
      <c r="K110">
        <v>31045.599999999999</v>
      </c>
      <c r="L110">
        <v>1791.9</v>
      </c>
    </row>
    <row r="111" spans="1:12" x14ac:dyDescent="0.25">
      <c r="A111" t="str">
        <f t="shared" si="1"/>
        <v>355,6 x 11,1</v>
      </c>
      <c r="B111">
        <v>355.6</v>
      </c>
      <c r="C111">
        <v>11.1</v>
      </c>
      <c r="D111">
        <v>1.1200000000000001</v>
      </c>
      <c r="E111">
        <v>120.13</v>
      </c>
      <c r="F111">
        <v>94.3</v>
      </c>
      <c r="G111">
        <v>17840.099999999999</v>
      </c>
      <c r="H111">
        <v>1003.4</v>
      </c>
      <c r="I111">
        <v>12.19</v>
      </c>
      <c r="J111">
        <v>1318.1</v>
      </c>
      <c r="K111">
        <v>35680.199999999997</v>
      </c>
      <c r="L111">
        <v>2068.1999999999998</v>
      </c>
    </row>
    <row r="112" spans="1:12" x14ac:dyDescent="0.25">
      <c r="A112" t="str">
        <f t="shared" si="1"/>
        <v>355,6 x 12,7</v>
      </c>
      <c r="B112">
        <v>355.6</v>
      </c>
      <c r="C112">
        <v>12.7</v>
      </c>
      <c r="D112">
        <v>1.1200000000000001</v>
      </c>
      <c r="E112">
        <v>136.81</v>
      </c>
      <c r="F112">
        <v>107.4</v>
      </c>
      <c r="G112">
        <v>20135.3</v>
      </c>
      <c r="H112">
        <v>1132.5</v>
      </c>
      <c r="I112">
        <v>12.13</v>
      </c>
      <c r="J112">
        <v>1494.3</v>
      </c>
      <c r="K112">
        <v>40270.6</v>
      </c>
      <c r="L112">
        <v>2344.4</v>
      </c>
    </row>
    <row r="113" spans="1:12" x14ac:dyDescent="0.25">
      <c r="A113" t="str">
        <f t="shared" si="1"/>
        <v>406,4 x 6,35</v>
      </c>
      <c r="B113">
        <v>406.4</v>
      </c>
      <c r="C113">
        <v>6.35</v>
      </c>
      <c r="D113">
        <v>1.28</v>
      </c>
      <c r="E113">
        <v>79.819999999999993</v>
      </c>
      <c r="F113">
        <v>62.66</v>
      </c>
      <c r="G113">
        <v>15975.2</v>
      </c>
      <c r="H113">
        <v>786.1</v>
      </c>
      <c r="I113">
        <v>14.15</v>
      </c>
      <c r="J113">
        <v>1016.8</v>
      </c>
      <c r="K113">
        <v>31950.3</v>
      </c>
      <c r="L113">
        <v>1595.9</v>
      </c>
    </row>
    <row r="114" spans="1:12" x14ac:dyDescent="0.25">
      <c r="A114" t="str">
        <f t="shared" si="1"/>
        <v>406,4 x 7,95</v>
      </c>
      <c r="B114">
        <v>406.4</v>
      </c>
      <c r="C114">
        <v>7.95</v>
      </c>
      <c r="D114">
        <v>1.28</v>
      </c>
      <c r="E114">
        <v>99.53</v>
      </c>
      <c r="F114">
        <v>78.13</v>
      </c>
      <c r="G114">
        <v>19764.3</v>
      </c>
      <c r="H114">
        <v>972.5</v>
      </c>
      <c r="I114">
        <v>14.09</v>
      </c>
      <c r="J114">
        <v>1262.9000000000001</v>
      </c>
      <c r="K114">
        <v>39528.6</v>
      </c>
      <c r="L114">
        <v>1982.1</v>
      </c>
    </row>
    <row r="115" spans="1:12" x14ac:dyDescent="0.25">
      <c r="A115" t="str">
        <f t="shared" si="1"/>
        <v>406,4 x 9,53</v>
      </c>
      <c r="B115">
        <v>406.4</v>
      </c>
      <c r="C115">
        <v>9.5299999999999994</v>
      </c>
      <c r="D115">
        <v>1.28</v>
      </c>
      <c r="E115">
        <v>118.84</v>
      </c>
      <c r="F115">
        <v>93.29</v>
      </c>
      <c r="G115">
        <v>23415.8</v>
      </c>
      <c r="H115">
        <v>1152.2</v>
      </c>
      <c r="I115">
        <v>14.04</v>
      </c>
      <c r="J115">
        <v>1502</v>
      </c>
      <c r="K115">
        <v>46831.6</v>
      </c>
      <c r="L115">
        <v>2357.1999999999998</v>
      </c>
    </row>
    <row r="116" spans="1:12" x14ac:dyDescent="0.25">
      <c r="A116" t="str">
        <f t="shared" si="1"/>
        <v>406,4 x 11,1</v>
      </c>
      <c r="B116">
        <v>406.4</v>
      </c>
      <c r="C116">
        <v>11.1</v>
      </c>
      <c r="D116">
        <v>1.28</v>
      </c>
      <c r="E116">
        <v>137.87</v>
      </c>
      <c r="F116">
        <v>108.22</v>
      </c>
      <c r="G116">
        <v>26956.7</v>
      </c>
      <c r="H116">
        <v>1326.4</v>
      </c>
      <c r="I116">
        <v>13.98</v>
      </c>
      <c r="J116">
        <v>1735.8</v>
      </c>
      <c r="K116">
        <v>53913.4</v>
      </c>
      <c r="L116">
        <v>2723.9</v>
      </c>
    </row>
    <row r="117" spans="1:12" x14ac:dyDescent="0.25">
      <c r="A117" t="str">
        <f t="shared" si="1"/>
        <v>406,4 x 12,7</v>
      </c>
      <c r="B117">
        <v>406.4</v>
      </c>
      <c r="C117">
        <v>12.7</v>
      </c>
      <c r="D117">
        <v>1.28</v>
      </c>
      <c r="E117">
        <v>157.1</v>
      </c>
      <c r="F117">
        <v>123.32</v>
      </c>
      <c r="G117">
        <v>30477.1</v>
      </c>
      <c r="H117">
        <v>1499.7</v>
      </c>
      <c r="I117">
        <v>13.93</v>
      </c>
      <c r="J117">
        <v>1970.1</v>
      </c>
      <c r="K117">
        <v>60954.2</v>
      </c>
      <c r="L117">
        <v>3091.3</v>
      </c>
    </row>
    <row r="118" spans="1:12" x14ac:dyDescent="0.25">
      <c r="A118" t="str">
        <f t="shared" si="1"/>
        <v>457,2 x 6,35</v>
      </c>
      <c r="B118">
        <v>457.2</v>
      </c>
      <c r="C118">
        <v>6.35</v>
      </c>
      <c r="D118">
        <v>1.44</v>
      </c>
      <c r="E118">
        <v>89.94</v>
      </c>
      <c r="F118">
        <v>70.599999999999994</v>
      </c>
      <c r="G118">
        <v>22856.6</v>
      </c>
      <c r="H118">
        <v>999.9</v>
      </c>
      <c r="I118">
        <v>15.94</v>
      </c>
      <c r="J118">
        <v>1291.0999999999999</v>
      </c>
      <c r="K118">
        <v>45713.3</v>
      </c>
      <c r="L118">
        <v>2026.5</v>
      </c>
    </row>
    <row r="119" spans="1:12" x14ac:dyDescent="0.25">
      <c r="A119" t="str">
        <f t="shared" si="1"/>
        <v>457,2 x 7,95</v>
      </c>
      <c r="B119">
        <v>457.2</v>
      </c>
      <c r="C119">
        <v>7.95</v>
      </c>
      <c r="D119">
        <v>1.44</v>
      </c>
      <c r="E119">
        <v>112.2</v>
      </c>
      <c r="F119">
        <v>88.08</v>
      </c>
      <c r="G119">
        <v>28315.5</v>
      </c>
      <c r="H119">
        <v>1238.5999999999999</v>
      </c>
      <c r="I119">
        <v>15.89</v>
      </c>
      <c r="J119">
        <v>1605</v>
      </c>
      <c r="K119">
        <v>56630.9</v>
      </c>
      <c r="L119">
        <v>2519.1</v>
      </c>
    </row>
    <row r="120" spans="1:12" x14ac:dyDescent="0.25">
      <c r="A120" t="str">
        <f t="shared" si="1"/>
        <v>457,2 x 9,53</v>
      </c>
      <c r="B120">
        <v>457.2</v>
      </c>
      <c r="C120">
        <v>9.5299999999999994</v>
      </c>
      <c r="D120">
        <v>1.44</v>
      </c>
      <c r="E120">
        <v>134.03</v>
      </c>
      <c r="F120">
        <v>105.21</v>
      </c>
      <c r="G120">
        <v>33590.800000000003</v>
      </c>
      <c r="H120">
        <v>1469.4</v>
      </c>
      <c r="I120">
        <v>15.83</v>
      </c>
      <c r="J120">
        <v>1910.6</v>
      </c>
      <c r="K120">
        <v>67181.600000000006</v>
      </c>
      <c r="L120">
        <v>2998.5</v>
      </c>
    </row>
    <row r="121" spans="1:12" x14ac:dyDescent="0.25">
      <c r="A121" t="str">
        <f t="shared" si="1"/>
        <v>457,2 x 11,1</v>
      </c>
      <c r="B121">
        <v>457.2</v>
      </c>
      <c r="C121">
        <v>11.1</v>
      </c>
      <c r="D121">
        <v>1.44</v>
      </c>
      <c r="E121">
        <v>155.56</v>
      </c>
      <c r="F121">
        <v>122.12</v>
      </c>
      <c r="G121">
        <v>38720.9</v>
      </c>
      <c r="H121">
        <v>1693.8</v>
      </c>
      <c r="I121">
        <v>15.78</v>
      </c>
      <c r="J121">
        <v>2209.9</v>
      </c>
      <c r="K121">
        <v>77441.7</v>
      </c>
      <c r="L121">
        <v>3468.1</v>
      </c>
    </row>
    <row r="122" spans="1:12" x14ac:dyDescent="0.25">
      <c r="A122" t="str">
        <f t="shared" si="1"/>
        <v>457,2 x 12,7</v>
      </c>
      <c r="B122">
        <v>457.2</v>
      </c>
      <c r="C122">
        <v>12.7</v>
      </c>
      <c r="D122">
        <v>1.44</v>
      </c>
      <c r="E122">
        <v>177.35</v>
      </c>
      <c r="F122">
        <v>139.22</v>
      </c>
      <c r="G122">
        <v>43835.9</v>
      </c>
      <c r="H122">
        <v>1917.6</v>
      </c>
      <c r="I122">
        <v>15.72</v>
      </c>
      <c r="J122">
        <v>2510.5</v>
      </c>
      <c r="K122">
        <v>87671.8</v>
      </c>
      <c r="L122">
        <v>3939.6</v>
      </c>
    </row>
    <row r="123" spans="1:12" x14ac:dyDescent="0.25">
      <c r="A123" t="str">
        <f t="shared" si="1"/>
        <v>508,2 x 6,35</v>
      </c>
      <c r="B123">
        <v>508.2</v>
      </c>
      <c r="C123">
        <v>6.35</v>
      </c>
      <c r="D123">
        <v>1.6</v>
      </c>
      <c r="E123">
        <v>100.11</v>
      </c>
      <c r="F123">
        <v>78.59</v>
      </c>
      <c r="G123">
        <v>31522.6</v>
      </c>
      <c r="H123">
        <v>1240.5999999999999</v>
      </c>
      <c r="I123">
        <v>17.739999999999998</v>
      </c>
      <c r="J123">
        <v>1599.7</v>
      </c>
      <c r="K123">
        <v>63045.1</v>
      </c>
      <c r="L123">
        <v>2510.9</v>
      </c>
    </row>
    <row r="124" spans="1:12" x14ac:dyDescent="0.25">
      <c r="A124" t="str">
        <f t="shared" si="1"/>
        <v>508,2 x 9,53</v>
      </c>
      <c r="B124">
        <v>508.2</v>
      </c>
      <c r="C124">
        <v>9.5299999999999994</v>
      </c>
      <c r="D124">
        <v>1.6</v>
      </c>
      <c r="E124">
        <v>149.30000000000001</v>
      </c>
      <c r="F124">
        <v>117.2</v>
      </c>
      <c r="G124">
        <v>46424.5</v>
      </c>
      <c r="H124">
        <v>1827</v>
      </c>
      <c r="I124">
        <v>17.63</v>
      </c>
      <c r="J124">
        <v>2370.6</v>
      </c>
      <c r="K124">
        <v>92849.1</v>
      </c>
      <c r="L124">
        <v>3720.7</v>
      </c>
    </row>
    <row r="125" spans="1:12" x14ac:dyDescent="0.25">
      <c r="A125" t="str">
        <f t="shared" si="1"/>
        <v>508,2 x 12,7</v>
      </c>
      <c r="B125">
        <v>508.2</v>
      </c>
      <c r="C125">
        <v>12.7</v>
      </c>
      <c r="D125">
        <v>1.6</v>
      </c>
      <c r="E125">
        <v>197.7</v>
      </c>
      <c r="F125">
        <v>155.19</v>
      </c>
      <c r="G125">
        <v>60712.3</v>
      </c>
      <c r="H125">
        <v>2389.3000000000002</v>
      </c>
      <c r="I125">
        <v>17.52</v>
      </c>
      <c r="J125">
        <v>3119.4</v>
      </c>
      <c r="K125">
        <v>121424.5</v>
      </c>
      <c r="L125">
        <v>4895.3999999999996</v>
      </c>
    </row>
    <row r="126" spans="1:12" x14ac:dyDescent="0.25">
      <c r="A126" t="str">
        <f t="shared" si="1"/>
        <v>508,2 x 15,87</v>
      </c>
      <c r="B126">
        <v>508.2</v>
      </c>
      <c r="C126">
        <v>15.87</v>
      </c>
      <c r="D126">
        <v>1.6</v>
      </c>
      <c r="E126">
        <v>245.46</v>
      </c>
      <c r="F126">
        <v>192.69</v>
      </c>
      <c r="G126">
        <v>74448.100000000006</v>
      </c>
      <c r="H126">
        <v>2929.9</v>
      </c>
      <c r="I126">
        <v>17.420000000000002</v>
      </c>
      <c r="J126">
        <v>3848.8</v>
      </c>
      <c r="K126">
        <v>148896.1</v>
      </c>
      <c r="L126">
        <v>6039.3</v>
      </c>
    </row>
    <row r="127" spans="1:12" x14ac:dyDescent="0.25">
      <c r="A127" t="str">
        <f t="shared" si="1"/>
        <v>558,8 x 6,35</v>
      </c>
      <c r="B127">
        <v>558.79999999999995</v>
      </c>
      <c r="C127">
        <v>6.35</v>
      </c>
      <c r="D127">
        <v>1.76</v>
      </c>
      <c r="E127">
        <v>110.21</v>
      </c>
      <c r="F127">
        <v>86.51</v>
      </c>
      <c r="G127">
        <v>42050</v>
      </c>
      <c r="H127">
        <v>1505</v>
      </c>
      <c r="I127">
        <v>19.53</v>
      </c>
      <c r="J127">
        <v>1938.5</v>
      </c>
      <c r="K127">
        <v>84100.1</v>
      </c>
      <c r="L127">
        <v>3042.7</v>
      </c>
    </row>
    <row r="128" spans="1:12" x14ac:dyDescent="0.25">
      <c r="A128" t="str">
        <f t="shared" si="1"/>
        <v>558,8 x 9,53</v>
      </c>
      <c r="B128">
        <v>558.79999999999995</v>
      </c>
      <c r="C128">
        <v>9.5299999999999994</v>
      </c>
      <c r="D128">
        <v>1.76</v>
      </c>
      <c r="E128">
        <v>164.45</v>
      </c>
      <c r="F128">
        <v>129.09</v>
      </c>
      <c r="G128">
        <v>62035.1</v>
      </c>
      <c r="H128">
        <v>2220.3000000000002</v>
      </c>
      <c r="I128">
        <v>19.420000000000002</v>
      </c>
      <c r="J128">
        <v>2876</v>
      </c>
      <c r="K128">
        <v>124070.3</v>
      </c>
      <c r="L128">
        <v>4514</v>
      </c>
    </row>
    <row r="129" spans="1:12" x14ac:dyDescent="0.25">
      <c r="A129" t="str">
        <f t="shared" si="1"/>
        <v>558,8 x 12,7</v>
      </c>
      <c r="B129">
        <v>558.79999999999995</v>
      </c>
      <c r="C129">
        <v>12.7</v>
      </c>
      <c r="D129">
        <v>1.76</v>
      </c>
      <c r="E129">
        <v>217.88</v>
      </c>
      <c r="F129">
        <v>171.04</v>
      </c>
      <c r="G129">
        <v>81266.5</v>
      </c>
      <c r="H129">
        <v>2908.6</v>
      </c>
      <c r="I129">
        <v>19.309999999999999</v>
      </c>
      <c r="J129">
        <v>3788.9</v>
      </c>
      <c r="K129">
        <v>162533</v>
      </c>
      <c r="L129">
        <v>5946.3</v>
      </c>
    </row>
    <row r="130" spans="1:12" x14ac:dyDescent="0.25">
      <c r="A130" t="str">
        <f t="shared" si="1"/>
        <v>609,6 x 6,35</v>
      </c>
      <c r="B130">
        <v>609.6</v>
      </c>
      <c r="C130">
        <v>6.35</v>
      </c>
      <c r="D130">
        <v>1.92</v>
      </c>
      <c r="E130">
        <v>120.34</v>
      </c>
      <c r="F130">
        <v>94.47</v>
      </c>
      <c r="G130">
        <v>54748.3</v>
      </c>
      <c r="H130">
        <v>1796.2</v>
      </c>
      <c r="I130">
        <v>21.33</v>
      </c>
      <c r="J130">
        <v>2311.4</v>
      </c>
      <c r="K130">
        <v>109496.5</v>
      </c>
      <c r="L130">
        <v>3628</v>
      </c>
    </row>
    <row r="131" spans="1:12" x14ac:dyDescent="0.25">
      <c r="A131" t="str">
        <f t="shared" si="1"/>
        <v>609,6 x 9,53</v>
      </c>
      <c r="B131">
        <v>609.6</v>
      </c>
      <c r="C131">
        <v>9.5299999999999994</v>
      </c>
      <c r="D131">
        <v>1.92</v>
      </c>
      <c r="E131">
        <v>179.66</v>
      </c>
      <c r="F131">
        <v>141.03</v>
      </c>
      <c r="G131">
        <v>80884.399999999994</v>
      </c>
      <c r="H131">
        <v>2653.7</v>
      </c>
      <c r="I131">
        <v>21.22</v>
      </c>
      <c r="J131">
        <v>3432.6</v>
      </c>
      <c r="K131">
        <v>161768.79999999999</v>
      </c>
      <c r="L131">
        <v>5387.6</v>
      </c>
    </row>
    <row r="132" spans="1:12" x14ac:dyDescent="0.25">
      <c r="A132" t="str">
        <f t="shared" ref="A132:A170" si="2">+_xlfn.CONCAT(B132," x ",C132)</f>
        <v>609,6 x 12,7</v>
      </c>
      <c r="B132">
        <v>609.6</v>
      </c>
      <c r="C132">
        <v>12.7</v>
      </c>
      <c r="D132">
        <v>1.92</v>
      </c>
      <c r="E132">
        <v>238.15</v>
      </c>
      <c r="F132">
        <v>186.95</v>
      </c>
      <c r="G132">
        <v>106111.3</v>
      </c>
      <c r="H132">
        <v>3481.3</v>
      </c>
      <c r="I132">
        <v>21.11</v>
      </c>
      <c r="J132">
        <v>4526.5</v>
      </c>
      <c r="K132">
        <v>212222.5</v>
      </c>
      <c r="L132">
        <v>7104.1</v>
      </c>
    </row>
    <row r="133" spans="1:12" x14ac:dyDescent="0.25">
      <c r="A133" t="str">
        <f t="shared" si="2"/>
        <v>609,6 x 15,87</v>
      </c>
      <c r="B133">
        <v>609.6</v>
      </c>
      <c r="C133">
        <v>15.87</v>
      </c>
      <c r="D133">
        <v>1.92</v>
      </c>
      <c r="E133">
        <v>296.02</v>
      </c>
      <c r="F133">
        <v>232.37</v>
      </c>
      <c r="G133">
        <v>130530.1</v>
      </c>
      <c r="H133">
        <v>4282.5</v>
      </c>
      <c r="I133">
        <v>21</v>
      </c>
      <c r="J133">
        <v>5596.9</v>
      </c>
      <c r="K133">
        <v>261060.1</v>
      </c>
      <c r="L133">
        <v>8783.2000000000007</v>
      </c>
    </row>
    <row r="134" spans="1:12" x14ac:dyDescent="0.25">
      <c r="A134" t="str">
        <f t="shared" si="2"/>
        <v>762 x 7,92</v>
      </c>
      <c r="B134">
        <v>762</v>
      </c>
      <c r="C134">
        <v>7.92</v>
      </c>
      <c r="D134">
        <v>2.39</v>
      </c>
      <c r="E134">
        <v>187.63</v>
      </c>
      <c r="F134">
        <v>147.29</v>
      </c>
      <c r="G134">
        <v>133377.29999999999</v>
      </c>
      <c r="H134">
        <v>3500.7</v>
      </c>
      <c r="I134">
        <v>26.66</v>
      </c>
      <c r="J134">
        <v>4504.7</v>
      </c>
      <c r="K134">
        <v>266754.5</v>
      </c>
      <c r="L134">
        <v>7070.7</v>
      </c>
    </row>
    <row r="135" spans="1:12" x14ac:dyDescent="0.25">
      <c r="A135" t="str">
        <f t="shared" si="2"/>
        <v>762 x 9,53</v>
      </c>
      <c r="B135">
        <v>762</v>
      </c>
      <c r="C135">
        <v>9.5299999999999994</v>
      </c>
      <c r="D135">
        <v>2.39</v>
      </c>
      <c r="E135">
        <v>225.28</v>
      </c>
      <c r="F135">
        <v>176.85</v>
      </c>
      <c r="G135">
        <v>159472.79999999999</v>
      </c>
      <c r="H135">
        <v>4185.6000000000004</v>
      </c>
      <c r="I135">
        <v>26.61</v>
      </c>
      <c r="J135">
        <v>5397.4</v>
      </c>
      <c r="K135">
        <v>318945.59999999998</v>
      </c>
      <c r="L135">
        <v>8471.7000000000007</v>
      </c>
    </row>
    <row r="136" spans="1:12" x14ac:dyDescent="0.25">
      <c r="A136" t="str">
        <f t="shared" si="2"/>
        <v>762 x 12,7</v>
      </c>
      <c r="B136">
        <v>762</v>
      </c>
      <c r="C136">
        <v>12.7</v>
      </c>
      <c r="D136">
        <v>2.39</v>
      </c>
      <c r="E136">
        <v>298.95999999999998</v>
      </c>
      <c r="F136">
        <v>234.68</v>
      </c>
      <c r="G136">
        <v>209870.9</v>
      </c>
      <c r="H136">
        <v>5508.4</v>
      </c>
      <c r="I136">
        <v>26.5</v>
      </c>
      <c r="J136">
        <v>7132.5</v>
      </c>
      <c r="K136">
        <v>419741.7</v>
      </c>
      <c r="L136">
        <v>11194.8</v>
      </c>
    </row>
    <row r="137" spans="1:12" x14ac:dyDescent="0.25">
      <c r="A137" t="str">
        <f t="shared" si="2"/>
        <v>762 x 15,87</v>
      </c>
      <c r="B137">
        <v>762</v>
      </c>
      <c r="C137">
        <v>15.87</v>
      </c>
      <c r="D137">
        <v>2.39</v>
      </c>
      <c r="E137">
        <v>372</v>
      </c>
      <c r="F137">
        <v>292.02</v>
      </c>
      <c r="G137">
        <v>258984.2</v>
      </c>
      <c r="H137">
        <v>6797.5</v>
      </c>
      <c r="I137">
        <v>26.39</v>
      </c>
      <c r="J137">
        <v>8838.1</v>
      </c>
      <c r="K137">
        <v>517968.5</v>
      </c>
      <c r="L137">
        <v>13870.9</v>
      </c>
    </row>
    <row r="138" spans="1:12" x14ac:dyDescent="0.25">
      <c r="A138" t="str">
        <f t="shared" si="2"/>
        <v>914,4 x 7,92</v>
      </c>
      <c r="B138">
        <v>914.4</v>
      </c>
      <c r="C138">
        <v>7.92</v>
      </c>
      <c r="D138">
        <v>2.87</v>
      </c>
      <c r="E138">
        <v>225.55</v>
      </c>
      <c r="F138">
        <v>177.05</v>
      </c>
      <c r="G138">
        <v>231681</v>
      </c>
      <c r="H138">
        <v>5067</v>
      </c>
      <c r="I138">
        <v>32.049999999999997</v>
      </c>
      <c r="J138">
        <v>6509</v>
      </c>
      <c r="K138">
        <v>463361</v>
      </c>
      <c r="L138">
        <v>10217</v>
      </c>
    </row>
    <row r="139" spans="1:12" x14ac:dyDescent="0.25">
      <c r="A139" t="str">
        <f t="shared" si="2"/>
        <v>914,4 x 9,53</v>
      </c>
      <c r="B139">
        <v>914.4</v>
      </c>
      <c r="C139">
        <v>9.5299999999999994</v>
      </c>
      <c r="D139">
        <v>2.87</v>
      </c>
      <c r="E139">
        <v>270.91000000000003</v>
      </c>
      <c r="F139">
        <v>212.67</v>
      </c>
      <c r="G139">
        <v>277304</v>
      </c>
      <c r="H139">
        <v>6065</v>
      </c>
      <c r="I139">
        <v>31.99</v>
      </c>
      <c r="J139">
        <v>7805</v>
      </c>
      <c r="K139">
        <v>554608</v>
      </c>
      <c r="L139">
        <v>12251</v>
      </c>
    </row>
    <row r="140" spans="1:12" x14ac:dyDescent="0.25">
      <c r="A140" t="str">
        <f t="shared" si="2"/>
        <v>914,4 x 12,7</v>
      </c>
      <c r="B140">
        <v>914.4</v>
      </c>
      <c r="C140">
        <v>12.7</v>
      </c>
      <c r="D140">
        <v>2.87</v>
      </c>
      <c r="E140">
        <v>359.76</v>
      </c>
      <c r="F140">
        <v>282.41000000000003</v>
      </c>
      <c r="G140">
        <v>365706</v>
      </c>
      <c r="H140">
        <v>7999</v>
      </c>
      <c r="I140">
        <v>31.88</v>
      </c>
      <c r="J140">
        <v>10329</v>
      </c>
      <c r="K140">
        <v>731413</v>
      </c>
      <c r="L140">
        <v>16212</v>
      </c>
    </row>
    <row r="141" spans="1:12" x14ac:dyDescent="0.25">
      <c r="A141" t="str">
        <f t="shared" si="2"/>
        <v>914,4 x 15,87</v>
      </c>
      <c r="B141">
        <v>914.4</v>
      </c>
      <c r="C141">
        <v>15.87</v>
      </c>
      <c r="D141">
        <v>2.87</v>
      </c>
      <c r="E141">
        <v>447.98</v>
      </c>
      <c r="F141">
        <v>351.66</v>
      </c>
      <c r="G141">
        <v>452238</v>
      </c>
      <c r="H141">
        <v>9891</v>
      </c>
      <c r="I141">
        <v>31.77</v>
      </c>
      <c r="J141">
        <v>12817</v>
      </c>
      <c r="K141">
        <v>904475</v>
      </c>
      <c r="L141">
        <v>20116</v>
      </c>
    </row>
    <row r="142" spans="1:12" x14ac:dyDescent="0.25">
      <c r="A142" t="str">
        <f t="shared" si="2"/>
        <v>914,4 x 19,05</v>
      </c>
      <c r="B142">
        <v>914.4</v>
      </c>
      <c r="C142">
        <v>19.05</v>
      </c>
      <c r="D142">
        <v>2.87</v>
      </c>
      <c r="E142">
        <v>535.84</v>
      </c>
      <c r="F142">
        <v>420.64</v>
      </c>
      <c r="G142">
        <v>537188</v>
      </c>
      <c r="H142">
        <v>11750</v>
      </c>
      <c r="I142">
        <v>31.66</v>
      </c>
      <c r="J142">
        <v>15277</v>
      </c>
      <c r="K142">
        <v>1074377</v>
      </c>
      <c r="L142">
        <v>23976</v>
      </c>
    </row>
    <row r="143" spans="1:12" x14ac:dyDescent="0.25">
      <c r="A143" t="str">
        <f t="shared" si="2"/>
        <v>1066,8 x 9,53</v>
      </c>
      <c r="B143">
        <v>1066.8</v>
      </c>
      <c r="C143">
        <v>9.5299999999999994</v>
      </c>
      <c r="D143">
        <v>3.35</v>
      </c>
      <c r="E143">
        <v>316.54000000000002</v>
      </c>
      <c r="F143">
        <v>248.48</v>
      </c>
      <c r="G143">
        <v>442326</v>
      </c>
      <c r="H143">
        <v>8293</v>
      </c>
      <c r="I143">
        <v>37.380000000000003</v>
      </c>
      <c r="J143">
        <v>10655</v>
      </c>
      <c r="K143">
        <v>884652</v>
      </c>
      <c r="L143">
        <v>16725</v>
      </c>
    </row>
    <row r="144" spans="1:12" x14ac:dyDescent="0.25">
      <c r="A144" t="str">
        <f t="shared" si="2"/>
        <v>1066,8 x 11,1</v>
      </c>
      <c r="B144">
        <v>1066.8</v>
      </c>
      <c r="C144">
        <v>11.1</v>
      </c>
      <c r="D144">
        <v>3.35</v>
      </c>
      <c r="E144">
        <v>368.14</v>
      </c>
      <c r="F144">
        <v>288.99</v>
      </c>
      <c r="G144">
        <v>512919</v>
      </c>
      <c r="H144">
        <v>9616</v>
      </c>
      <c r="I144">
        <v>37.33</v>
      </c>
      <c r="J144">
        <v>12374</v>
      </c>
      <c r="K144">
        <v>1025839</v>
      </c>
      <c r="L144">
        <v>19422</v>
      </c>
    </row>
    <row r="145" spans="1:12" x14ac:dyDescent="0.25">
      <c r="A145" t="str">
        <f t="shared" si="2"/>
        <v>1066,8 x 12,7</v>
      </c>
      <c r="B145">
        <v>1066.8</v>
      </c>
      <c r="C145">
        <v>12.7</v>
      </c>
      <c r="D145">
        <v>3.35</v>
      </c>
      <c r="E145">
        <v>420.57</v>
      </c>
      <c r="F145">
        <v>330.15</v>
      </c>
      <c r="G145">
        <v>584210</v>
      </c>
      <c r="H145">
        <v>10953</v>
      </c>
      <c r="I145">
        <v>37.270000000000003</v>
      </c>
      <c r="J145">
        <v>14115</v>
      </c>
      <c r="K145">
        <v>1168419</v>
      </c>
      <c r="L145">
        <v>22155</v>
      </c>
    </row>
    <row r="146" spans="1:12" x14ac:dyDescent="0.25">
      <c r="A146" t="str">
        <f t="shared" si="2"/>
        <v>1066,8 x 15,87</v>
      </c>
      <c r="B146">
        <v>1066.8</v>
      </c>
      <c r="C146">
        <v>15.87</v>
      </c>
      <c r="D146">
        <v>3.35</v>
      </c>
      <c r="E146">
        <v>523.96</v>
      </c>
      <c r="F146">
        <v>411.31</v>
      </c>
      <c r="G146">
        <v>723525</v>
      </c>
      <c r="H146">
        <v>13564</v>
      </c>
      <c r="I146">
        <v>37.159999999999997</v>
      </c>
      <c r="J146">
        <v>17533</v>
      </c>
      <c r="K146">
        <v>1447051</v>
      </c>
      <c r="L146">
        <v>27518</v>
      </c>
    </row>
    <row r="147" spans="1:12" x14ac:dyDescent="0.25">
      <c r="A147" t="str">
        <f t="shared" si="2"/>
        <v>1066,8 x 19,05</v>
      </c>
      <c r="B147">
        <v>1066.8</v>
      </c>
      <c r="C147">
        <v>19.05</v>
      </c>
      <c r="D147">
        <v>3.35</v>
      </c>
      <c r="E147">
        <v>627.04999999999995</v>
      </c>
      <c r="F147">
        <v>492.23</v>
      </c>
      <c r="G147">
        <v>860732</v>
      </c>
      <c r="H147">
        <v>16137</v>
      </c>
      <c r="I147">
        <v>37.049999999999997</v>
      </c>
      <c r="J147">
        <v>20919</v>
      </c>
      <c r="K147">
        <v>1721464</v>
      </c>
      <c r="L147">
        <v>32833</v>
      </c>
    </row>
    <row r="148" spans="1:12" x14ac:dyDescent="0.25">
      <c r="A148" t="str">
        <f t="shared" si="2"/>
        <v>1219,2 x 9,53</v>
      </c>
      <c r="B148">
        <v>1219.2</v>
      </c>
      <c r="C148">
        <v>9.5299999999999994</v>
      </c>
      <c r="D148">
        <v>3.83</v>
      </c>
      <c r="E148">
        <v>362.17</v>
      </c>
      <c r="F148">
        <v>284.3</v>
      </c>
      <c r="G148">
        <v>662487</v>
      </c>
      <c r="H148">
        <v>10868</v>
      </c>
      <c r="I148">
        <v>42.77</v>
      </c>
      <c r="J148">
        <v>13948</v>
      </c>
      <c r="K148">
        <v>1324973</v>
      </c>
      <c r="L148">
        <v>21894</v>
      </c>
    </row>
    <row r="149" spans="1:12" x14ac:dyDescent="0.25">
      <c r="A149" t="str">
        <f t="shared" si="2"/>
        <v>1219,2 x 11,1</v>
      </c>
      <c r="B149">
        <v>1219.2</v>
      </c>
      <c r="C149">
        <v>11.1</v>
      </c>
      <c r="D149">
        <v>3.83</v>
      </c>
      <c r="E149">
        <v>421.28</v>
      </c>
      <c r="F149">
        <v>330.71</v>
      </c>
      <c r="G149">
        <v>768643</v>
      </c>
      <c r="H149">
        <v>12609</v>
      </c>
      <c r="I149">
        <v>42.71</v>
      </c>
      <c r="J149">
        <v>16204</v>
      </c>
      <c r="K149">
        <v>1537286</v>
      </c>
      <c r="L149">
        <v>25435</v>
      </c>
    </row>
    <row r="150" spans="1:12" x14ac:dyDescent="0.25">
      <c r="A150" t="str">
        <f t="shared" si="2"/>
        <v>1219,2 x 12,7</v>
      </c>
      <c r="B150">
        <v>1219.2</v>
      </c>
      <c r="C150">
        <v>12.7</v>
      </c>
      <c r="D150">
        <v>3.83</v>
      </c>
      <c r="E150">
        <v>481.37</v>
      </c>
      <c r="F150">
        <v>377.88</v>
      </c>
      <c r="G150">
        <v>875972</v>
      </c>
      <c r="H150">
        <v>14370</v>
      </c>
      <c r="I150">
        <v>42.66</v>
      </c>
      <c r="J150">
        <v>18491</v>
      </c>
      <c r="K150">
        <v>1751944</v>
      </c>
      <c r="L150">
        <v>29024</v>
      </c>
    </row>
    <row r="151" spans="1:12" x14ac:dyDescent="0.25">
      <c r="A151" t="str">
        <f t="shared" si="2"/>
        <v>1219,2 x 15,87</v>
      </c>
      <c r="B151">
        <v>1219.2</v>
      </c>
      <c r="C151">
        <v>15.87</v>
      </c>
      <c r="D151">
        <v>3.83</v>
      </c>
      <c r="E151">
        <v>599.95000000000005</v>
      </c>
      <c r="F151">
        <v>470.96</v>
      </c>
      <c r="G151">
        <v>1086083</v>
      </c>
      <c r="H151">
        <v>17816</v>
      </c>
      <c r="I151">
        <v>42.55</v>
      </c>
      <c r="J151">
        <v>22986</v>
      </c>
      <c r="K151">
        <v>2172167</v>
      </c>
      <c r="L151">
        <v>36078</v>
      </c>
    </row>
    <row r="152" spans="1:12" x14ac:dyDescent="0.25">
      <c r="A152" t="str">
        <f t="shared" si="2"/>
        <v>1219,2 x 19,05</v>
      </c>
      <c r="B152">
        <v>1219.2</v>
      </c>
      <c r="C152">
        <v>19.05</v>
      </c>
      <c r="D152">
        <v>3.83</v>
      </c>
      <c r="E152">
        <v>718.26</v>
      </c>
      <c r="F152">
        <v>563.83000000000004</v>
      </c>
      <c r="G152">
        <v>1293503</v>
      </c>
      <c r="H152">
        <v>21219</v>
      </c>
      <c r="I152">
        <v>42.44</v>
      </c>
      <c r="J152">
        <v>27447</v>
      </c>
      <c r="K152">
        <v>2587006</v>
      </c>
      <c r="L152">
        <v>43079</v>
      </c>
    </row>
    <row r="153" spans="1:12" x14ac:dyDescent="0.25">
      <c r="A153" t="str">
        <f t="shared" si="2"/>
        <v>1320,8 x 9,53</v>
      </c>
      <c r="B153">
        <v>1320.8</v>
      </c>
      <c r="C153">
        <v>9.5299999999999994</v>
      </c>
      <c r="D153">
        <v>4.1500000000000004</v>
      </c>
      <c r="E153">
        <v>392.59</v>
      </c>
      <c r="F153">
        <v>308.18</v>
      </c>
      <c r="G153">
        <v>843818</v>
      </c>
      <c r="H153">
        <v>12777</v>
      </c>
      <c r="I153">
        <v>46.36</v>
      </c>
      <c r="J153">
        <v>16390</v>
      </c>
      <c r="K153">
        <v>1687636</v>
      </c>
      <c r="L153">
        <v>25726</v>
      </c>
    </row>
    <row r="154" spans="1:12" x14ac:dyDescent="0.25">
      <c r="A154" t="str">
        <f t="shared" si="2"/>
        <v>1320,8 x 11,1</v>
      </c>
      <c r="B154">
        <v>1320.8</v>
      </c>
      <c r="C154">
        <v>11.1</v>
      </c>
      <c r="D154">
        <v>4.1500000000000004</v>
      </c>
      <c r="E154">
        <v>456.71</v>
      </c>
      <c r="F154">
        <v>358.52</v>
      </c>
      <c r="G154">
        <v>979323</v>
      </c>
      <c r="H154">
        <v>14829</v>
      </c>
      <c r="I154">
        <v>46.31</v>
      </c>
      <c r="J154">
        <v>19044</v>
      </c>
      <c r="K154">
        <v>1958647</v>
      </c>
      <c r="L154">
        <v>29893</v>
      </c>
    </row>
    <row r="155" spans="1:12" x14ac:dyDescent="0.25">
      <c r="A155" t="str">
        <f t="shared" si="2"/>
        <v>1320,8 x 12,7</v>
      </c>
      <c r="B155">
        <v>1320.8</v>
      </c>
      <c r="C155">
        <v>12.7</v>
      </c>
      <c r="D155">
        <v>4.1500000000000004</v>
      </c>
      <c r="E155">
        <v>521.91</v>
      </c>
      <c r="F155">
        <v>409.7</v>
      </c>
      <c r="G155">
        <v>1116411</v>
      </c>
      <c r="H155">
        <v>16905</v>
      </c>
      <c r="I155">
        <v>46.25</v>
      </c>
      <c r="J155">
        <v>21736</v>
      </c>
      <c r="K155">
        <v>2232821</v>
      </c>
      <c r="L155">
        <v>34118</v>
      </c>
    </row>
    <row r="156" spans="1:12" x14ac:dyDescent="0.25">
      <c r="A156" t="str">
        <f t="shared" si="2"/>
        <v>1320,8 x 15,87</v>
      </c>
      <c r="B156">
        <v>1320.8</v>
      </c>
      <c r="C156">
        <v>15.87</v>
      </c>
      <c r="D156">
        <v>4.1500000000000004</v>
      </c>
      <c r="E156">
        <v>650.6</v>
      </c>
      <c r="F156">
        <v>510.72</v>
      </c>
      <c r="G156">
        <v>1385030</v>
      </c>
      <c r="H156">
        <v>20973</v>
      </c>
      <c r="I156">
        <v>46.14</v>
      </c>
      <c r="J156">
        <v>27031</v>
      </c>
      <c r="K156">
        <v>2770061</v>
      </c>
      <c r="L156">
        <v>42428</v>
      </c>
    </row>
    <row r="157" spans="1:12" x14ac:dyDescent="0.25">
      <c r="A157" t="str">
        <f t="shared" si="2"/>
        <v>1320,8 x 19,05</v>
      </c>
      <c r="B157">
        <v>1320.8</v>
      </c>
      <c r="C157">
        <v>19.05</v>
      </c>
      <c r="D157">
        <v>4.1500000000000004</v>
      </c>
      <c r="E157">
        <v>779.06</v>
      </c>
      <c r="F157">
        <v>611.55999999999995</v>
      </c>
      <c r="G157">
        <v>1650544</v>
      </c>
      <c r="H157">
        <v>24993</v>
      </c>
      <c r="I157">
        <v>46.03</v>
      </c>
      <c r="J157">
        <v>32290</v>
      </c>
      <c r="K157">
        <v>3301089</v>
      </c>
      <c r="L157">
        <v>50682</v>
      </c>
    </row>
    <row r="158" spans="1:12" x14ac:dyDescent="0.25">
      <c r="A158" t="str">
        <f t="shared" si="2"/>
        <v>1422,4 x 9,53</v>
      </c>
      <c r="B158">
        <v>1422.4</v>
      </c>
      <c r="C158">
        <v>9.5299999999999994</v>
      </c>
      <c r="D158">
        <v>4.47</v>
      </c>
      <c r="E158">
        <v>423</v>
      </c>
      <c r="F158">
        <v>332.06</v>
      </c>
      <c r="G158">
        <v>1055543</v>
      </c>
      <c r="H158">
        <v>14842</v>
      </c>
      <c r="I158">
        <v>49.95</v>
      </c>
      <c r="J158">
        <v>19028</v>
      </c>
      <c r="K158">
        <v>2111085</v>
      </c>
      <c r="L158">
        <v>29867</v>
      </c>
    </row>
    <row r="159" spans="1:12" x14ac:dyDescent="0.25">
      <c r="A159" t="str">
        <f t="shared" si="2"/>
        <v>1422,4 x 11,1</v>
      </c>
      <c r="B159">
        <v>1422.4</v>
      </c>
      <c r="C159">
        <v>11.1</v>
      </c>
      <c r="D159">
        <v>4.47</v>
      </c>
      <c r="E159">
        <v>492.14</v>
      </c>
      <c r="F159">
        <v>386.33</v>
      </c>
      <c r="G159">
        <v>1225362</v>
      </c>
      <c r="H159">
        <v>17229</v>
      </c>
      <c r="I159">
        <v>49.9</v>
      </c>
      <c r="J159">
        <v>22113</v>
      </c>
      <c r="K159">
        <v>2450724</v>
      </c>
      <c r="L159">
        <v>34711</v>
      </c>
    </row>
    <row r="160" spans="1:12" x14ac:dyDescent="0.25">
      <c r="A160" t="str">
        <f t="shared" si="2"/>
        <v>1422,4 x 12,7</v>
      </c>
      <c r="B160">
        <v>1422.4</v>
      </c>
      <c r="C160">
        <v>12.7</v>
      </c>
      <c r="D160">
        <v>4.47</v>
      </c>
      <c r="E160">
        <v>562.45000000000005</v>
      </c>
      <c r="F160">
        <v>441.52</v>
      </c>
      <c r="G160">
        <v>1397255</v>
      </c>
      <c r="H160">
        <v>19646</v>
      </c>
      <c r="I160">
        <v>49.84</v>
      </c>
      <c r="J160">
        <v>25244</v>
      </c>
      <c r="K160">
        <v>2794509</v>
      </c>
      <c r="L160">
        <v>39624</v>
      </c>
    </row>
    <row r="161" spans="1:12" x14ac:dyDescent="0.25">
      <c r="A161" t="str">
        <f t="shared" si="2"/>
        <v>1422,4 x 15,87</v>
      </c>
      <c r="B161">
        <v>1422.4</v>
      </c>
      <c r="C161">
        <v>15.87</v>
      </c>
      <c r="D161">
        <v>4.47</v>
      </c>
      <c r="E161">
        <v>701.25</v>
      </c>
      <c r="F161">
        <v>550.48</v>
      </c>
      <c r="G161">
        <v>1734346</v>
      </c>
      <c r="H161">
        <v>24386</v>
      </c>
      <c r="I161">
        <v>49.73</v>
      </c>
      <c r="J161">
        <v>31404</v>
      </c>
      <c r="K161">
        <v>3468692</v>
      </c>
      <c r="L161">
        <v>49292</v>
      </c>
    </row>
    <row r="162" spans="1:12" x14ac:dyDescent="0.25">
      <c r="A162" t="str">
        <f t="shared" si="2"/>
        <v>1422,4 x 19,05</v>
      </c>
      <c r="B162">
        <v>1422.4</v>
      </c>
      <c r="C162">
        <v>19.05</v>
      </c>
      <c r="D162">
        <v>4.47</v>
      </c>
      <c r="E162">
        <v>839.87</v>
      </c>
      <c r="F162">
        <v>659.3</v>
      </c>
      <c r="G162">
        <v>2067900</v>
      </c>
      <c r="H162">
        <v>29076</v>
      </c>
      <c r="I162">
        <v>49.62</v>
      </c>
      <c r="J162">
        <v>37527</v>
      </c>
      <c r="K162">
        <v>4135799</v>
      </c>
      <c r="L162">
        <v>58902</v>
      </c>
    </row>
    <row r="163" spans="1:12" x14ac:dyDescent="0.25">
      <c r="A163" t="str">
        <f t="shared" si="2"/>
        <v>1524 x 9,53</v>
      </c>
      <c r="B163">
        <v>1524</v>
      </c>
      <c r="C163">
        <v>9.5299999999999994</v>
      </c>
      <c r="D163">
        <v>4.79</v>
      </c>
      <c r="E163">
        <v>453.42</v>
      </c>
      <c r="F163">
        <v>355.94</v>
      </c>
      <c r="G163">
        <v>1300016</v>
      </c>
      <c r="H163">
        <v>17061</v>
      </c>
      <c r="I163">
        <v>53.55</v>
      </c>
      <c r="J163">
        <v>21863</v>
      </c>
      <c r="K163">
        <v>2600031</v>
      </c>
      <c r="L163">
        <v>34317</v>
      </c>
    </row>
    <row r="164" spans="1:12" x14ac:dyDescent="0.25">
      <c r="A164" t="str">
        <f t="shared" si="2"/>
        <v>1524 x 11,1</v>
      </c>
      <c r="B164">
        <v>1524</v>
      </c>
      <c r="C164">
        <v>11.1</v>
      </c>
      <c r="D164">
        <v>4.79</v>
      </c>
      <c r="E164">
        <v>527.57000000000005</v>
      </c>
      <c r="F164">
        <v>414.15</v>
      </c>
      <c r="G164">
        <v>1509501</v>
      </c>
      <c r="H164">
        <v>19810</v>
      </c>
      <c r="I164">
        <v>53.49</v>
      </c>
      <c r="J164">
        <v>25412</v>
      </c>
      <c r="K164">
        <v>3019003</v>
      </c>
      <c r="L164">
        <v>39888</v>
      </c>
    </row>
    <row r="165" spans="1:12" x14ac:dyDescent="0.25">
      <c r="A165" t="str">
        <f t="shared" si="2"/>
        <v>1524 x 12,7</v>
      </c>
      <c r="B165">
        <v>1524</v>
      </c>
      <c r="C165">
        <v>12.7</v>
      </c>
      <c r="D165">
        <v>4.79</v>
      </c>
      <c r="E165">
        <v>602.98</v>
      </c>
      <c r="F165">
        <v>473.34</v>
      </c>
      <c r="G165">
        <v>1721642</v>
      </c>
      <c r="H165">
        <v>22594</v>
      </c>
      <c r="I165">
        <v>53.43</v>
      </c>
      <c r="J165">
        <v>29014</v>
      </c>
      <c r="K165">
        <v>3443285</v>
      </c>
      <c r="L165">
        <v>45541</v>
      </c>
    </row>
    <row r="166" spans="1:12" x14ac:dyDescent="0.25">
      <c r="A166" t="str">
        <f t="shared" si="2"/>
        <v>1524 x 15,87</v>
      </c>
      <c r="B166">
        <v>1524</v>
      </c>
      <c r="C166">
        <v>15.87</v>
      </c>
      <c r="D166">
        <v>4.79</v>
      </c>
      <c r="E166">
        <v>751.91</v>
      </c>
      <c r="F166">
        <v>590.25</v>
      </c>
      <c r="G166">
        <v>2137951</v>
      </c>
      <c r="H166">
        <v>28057</v>
      </c>
      <c r="I166">
        <v>53.32</v>
      </c>
      <c r="J166">
        <v>36104</v>
      </c>
      <c r="K166">
        <v>4275903</v>
      </c>
      <c r="L166">
        <v>56670</v>
      </c>
    </row>
    <row r="167" spans="1:12" x14ac:dyDescent="0.25">
      <c r="A167" t="str">
        <f t="shared" si="2"/>
        <v>1524 x 19,05</v>
      </c>
      <c r="B167">
        <v>1524</v>
      </c>
      <c r="C167">
        <v>19.05</v>
      </c>
      <c r="D167">
        <v>4.79</v>
      </c>
      <c r="E167">
        <v>900.67</v>
      </c>
      <c r="F167">
        <v>707.03</v>
      </c>
      <c r="G167">
        <v>2550276</v>
      </c>
      <c r="H167">
        <v>33468</v>
      </c>
      <c r="I167">
        <v>53.21</v>
      </c>
      <c r="J167">
        <v>43157</v>
      </c>
      <c r="K167">
        <v>5100553</v>
      </c>
      <c r="L167">
        <v>67739</v>
      </c>
    </row>
    <row r="168" spans="1:12" x14ac:dyDescent="0.25">
      <c r="A168" t="str">
        <f t="shared" si="2"/>
        <v>1828,8 x 12,7</v>
      </c>
      <c r="B168">
        <v>1828.8</v>
      </c>
      <c r="C168">
        <v>12.7</v>
      </c>
      <c r="D168">
        <v>5.75</v>
      </c>
      <c r="E168">
        <v>724.59</v>
      </c>
      <c r="F168">
        <v>568.79999999999995</v>
      </c>
      <c r="G168">
        <v>2987450</v>
      </c>
      <c r="H168">
        <v>32671</v>
      </c>
      <c r="I168">
        <v>64.209999999999994</v>
      </c>
      <c r="J168">
        <v>41896</v>
      </c>
      <c r="K168">
        <v>5974901</v>
      </c>
      <c r="L168">
        <v>65763</v>
      </c>
    </row>
    <row r="169" spans="1:12" x14ac:dyDescent="0.25">
      <c r="A169" t="str">
        <f t="shared" si="2"/>
        <v>1828,8 x 15,87</v>
      </c>
      <c r="B169">
        <v>1828.8</v>
      </c>
      <c r="C169">
        <v>15.87</v>
      </c>
      <c r="D169">
        <v>5.75</v>
      </c>
      <c r="E169">
        <v>903.87</v>
      </c>
      <c r="F169">
        <v>709.54</v>
      </c>
      <c r="G169">
        <v>3713725</v>
      </c>
      <c r="H169">
        <v>40614</v>
      </c>
      <c r="I169">
        <v>64.099999999999994</v>
      </c>
      <c r="J169">
        <v>52172</v>
      </c>
      <c r="K169">
        <v>7427451</v>
      </c>
      <c r="L169">
        <v>81891</v>
      </c>
    </row>
    <row r="170" spans="1:12" x14ac:dyDescent="0.25">
      <c r="A170" t="str">
        <f t="shared" si="2"/>
        <v>1828,8 x 19,05</v>
      </c>
      <c r="B170">
        <v>1828.8</v>
      </c>
      <c r="C170">
        <v>19.05</v>
      </c>
      <c r="D170">
        <v>5.75</v>
      </c>
      <c r="E170">
        <v>1083.0899999999999</v>
      </c>
      <c r="F170">
        <v>850.22</v>
      </c>
      <c r="G170">
        <v>4434609</v>
      </c>
      <c r="H170">
        <v>48497</v>
      </c>
      <c r="I170">
        <v>63.99</v>
      </c>
      <c r="J170">
        <v>62407</v>
      </c>
      <c r="K170">
        <v>8869218</v>
      </c>
      <c r="L170">
        <v>97956</v>
      </c>
    </row>
    <row r="173" spans="1:12" x14ac:dyDescent="0.25">
      <c r="B173" t="s">
        <v>133</v>
      </c>
      <c r="C173" t="s">
        <v>98</v>
      </c>
      <c r="D173" t="s">
        <v>116</v>
      </c>
      <c r="E173" t="s">
        <v>10</v>
      </c>
      <c r="F173" t="s">
        <v>117</v>
      </c>
      <c r="G173" t="s">
        <v>134</v>
      </c>
      <c r="H173" t="s">
        <v>135</v>
      </c>
      <c r="I173" t="s">
        <v>136</v>
      </c>
      <c r="J173" t="s">
        <v>137</v>
      </c>
      <c r="K173" t="s">
        <v>27</v>
      </c>
      <c r="L173" t="s">
        <v>80</v>
      </c>
    </row>
    <row r="174" spans="1:12" x14ac:dyDescent="0.25">
      <c r="B174" t="s">
        <v>121</v>
      </c>
      <c r="C174" t="s">
        <v>121</v>
      </c>
      <c r="D174" t="s">
        <v>122</v>
      </c>
      <c r="E174" t="s">
        <v>138</v>
      </c>
      <c r="F174" t="s">
        <v>124</v>
      </c>
      <c r="G174" t="s">
        <v>125</v>
      </c>
      <c r="H174" t="s">
        <v>126</v>
      </c>
      <c r="I174" t="s">
        <v>127</v>
      </c>
      <c r="J174" t="s">
        <v>126</v>
      </c>
      <c r="K174" t="s">
        <v>125</v>
      </c>
      <c r="L174" t="s">
        <v>126</v>
      </c>
    </row>
    <row r="175" spans="1:12" x14ac:dyDescent="0.25">
      <c r="A175" t="str">
        <f t="shared" ref="A175:A238" si="3">+_xlfn.CONCAT(B175," x ",C175)</f>
        <v>15 x 0,7</v>
      </c>
      <c r="B175">
        <v>15</v>
      </c>
      <c r="C175">
        <v>0.7</v>
      </c>
      <c r="D175">
        <v>5.8000000000000003E-2</v>
      </c>
      <c r="E175">
        <v>0.38800000000000001</v>
      </c>
      <c r="F175">
        <v>0.30399999999999999</v>
      </c>
      <c r="G175">
        <v>0.13</v>
      </c>
      <c r="H175">
        <v>0.17299999999999999</v>
      </c>
      <c r="I175">
        <v>0.57899999999999996</v>
      </c>
      <c r="J175">
        <v>0.20599999999999999</v>
      </c>
      <c r="K175">
        <v>0.20300000000000001</v>
      </c>
      <c r="L175">
        <v>0.28499999999999998</v>
      </c>
    </row>
    <row r="176" spans="1:12" x14ac:dyDescent="0.25">
      <c r="A176" t="str">
        <f t="shared" si="3"/>
        <v>15 x 0,9</v>
      </c>
      <c r="B176">
        <v>15</v>
      </c>
      <c r="C176">
        <v>0.9</v>
      </c>
      <c r="D176">
        <v>5.7000000000000002E-2</v>
      </c>
      <c r="E176">
        <v>0.48699999999999999</v>
      </c>
      <c r="F176">
        <v>0.38200000000000001</v>
      </c>
      <c r="G176">
        <v>0.158</v>
      </c>
      <c r="H176">
        <v>0.21</v>
      </c>
      <c r="I176">
        <v>0.56899999999999995</v>
      </c>
      <c r="J176">
        <v>0.254</v>
      </c>
      <c r="K176">
        <v>0.248</v>
      </c>
      <c r="L176">
        <v>0.35499999999999998</v>
      </c>
    </row>
    <row r="177" spans="1:12" x14ac:dyDescent="0.25">
      <c r="A177" t="str">
        <f t="shared" si="3"/>
        <v>15 x 1,25</v>
      </c>
      <c r="B177">
        <v>15</v>
      </c>
      <c r="C177">
        <v>1.25</v>
      </c>
      <c r="D177">
        <v>5.6000000000000001E-2</v>
      </c>
      <c r="E177">
        <v>0.64700000000000002</v>
      </c>
      <c r="F177">
        <v>0.50800000000000001</v>
      </c>
      <c r="G177">
        <v>0.19700000000000001</v>
      </c>
      <c r="H177">
        <v>0.26300000000000001</v>
      </c>
      <c r="I177">
        <v>0.55200000000000005</v>
      </c>
      <c r="J177">
        <v>0.32700000000000001</v>
      </c>
      <c r="K177">
        <v>0.315</v>
      </c>
      <c r="L177">
        <v>0.46500000000000002</v>
      </c>
    </row>
    <row r="178" spans="1:12" x14ac:dyDescent="0.25">
      <c r="A178" t="str">
        <f t="shared" si="3"/>
        <v>20 x 0,9</v>
      </c>
      <c r="B178">
        <v>20</v>
      </c>
      <c r="C178">
        <v>0.9</v>
      </c>
      <c r="D178">
        <v>7.6999999999999999E-2</v>
      </c>
      <c r="E178">
        <v>0.66700000000000004</v>
      </c>
      <c r="F178">
        <v>0.52300000000000002</v>
      </c>
      <c r="G178">
        <v>0.39900000000000002</v>
      </c>
      <c r="H178">
        <v>0.39900000000000002</v>
      </c>
      <c r="I178">
        <v>0.77300000000000002</v>
      </c>
      <c r="J178">
        <v>0.47299999999999998</v>
      </c>
      <c r="K178">
        <v>0.622</v>
      </c>
      <c r="L178">
        <v>0.65400000000000003</v>
      </c>
    </row>
    <row r="179" spans="1:12" x14ac:dyDescent="0.25">
      <c r="A179" t="str">
        <f t="shared" si="3"/>
        <v>20 x 1,25</v>
      </c>
      <c r="B179">
        <v>20</v>
      </c>
      <c r="C179">
        <v>1.25</v>
      </c>
      <c r="D179">
        <v>7.5999999999999998E-2</v>
      </c>
      <c r="E179">
        <v>0.89700000000000002</v>
      </c>
      <c r="F179">
        <v>0.70399999999999996</v>
      </c>
      <c r="G179">
        <v>0.51300000000000001</v>
      </c>
      <c r="H179">
        <v>0.51300000000000001</v>
      </c>
      <c r="I179">
        <v>0.75600000000000001</v>
      </c>
      <c r="J179">
        <v>0.621</v>
      </c>
      <c r="K179">
        <v>0.81</v>
      </c>
      <c r="L179">
        <v>0.871</v>
      </c>
    </row>
    <row r="180" spans="1:12" x14ac:dyDescent="0.25">
      <c r="A180" t="str">
        <f t="shared" si="3"/>
        <v>20 x 1,6</v>
      </c>
      <c r="B180">
        <v>20</v>
      </c>
      <c r="C180">
        <v>1.6</v>
      </c>
      <c r="D180">
        <v>7.4999999999999997E-2</v>
      </c>
      <c r="E180" s="25">
        <v>1112</v>
      </c>
      <c r="F180">
        <v>0.873</v>
      </c>
      <c r="G180">
        <v>0.60699999999999998</v>
      </c>
      <c r="H180">
        <v>0.60699999999999998</v>
      </c>
      <c r="I180">
        <v>0.73899999999999999</v>
      </c>
      <c r="J180">
        <v>0.752</v>
      </c>
      <c r="K180">
        <v>0.96799999999999997</v>
      </c>
      <c r="L180" s="25">
        <v>1068</v>
      </c>
    </row>
    <row r="181" spans="1:12" x14ac:dyDescent="0.25">
      <c r="A181" t="str">
        <f t="shared" si="3"/>
        <v>25 x 0,9</v>
      </c>
      <c r="B181">
        <v>25</v>
      </c>
      <c r="C181">
        <v>0.9</v>
      </c>
      <c r="D181">
        <v>9.7000000000000003E-2</v>
      </c>
      <c r="E181">
        <v>0.84699999999999998</v>
      </c>
      <c r="F181">
        <v>0.66500000000000004</v>
      </c>
      <c r="G181">
        <v>0.80900000000000005</v>
      </c>
      <c r="H181">
        <v>0.64700000000000002</v>
      </c>
      <c r="I181">
        <v>0.97699999999999998</v>
      </c>
      <c r="J181">
        <v>0.75900000000000001</v>
      </c>
      <c r="K181" s="25">
        <v>1253</v>
      </c>
      <c r="L181" s="25">
        <v>1043</v>
      </c>
    </row>
    <row r="182" spans="1:12" x14ac:dyDescent="0.25">
      <c r="A182" t="str">
        <f t="shared" si="3"/>
        <v>25 x 1,25</v>
      </c>
      <c r="B182">
        <v>25</v>
      </c>
      <c r="C182">
        <v>1.25</v>
      </c>
      <c r="D182">
        <v>9.6000000000000002E-2</v>
      </c>
      <c r="E182" s="25">
        <v>1147</v>
      </c>
      <c r="F182">
        <v>0.90100000000000002</v>
      </c>
      <c r="G182" s="25">
        <v>1058</v>
      </c>
      <c r="H182">
        <v>0.84699999999999998</v>
      </c>
      <c r="I182">
        <v>0.96</v>
      </c>
      <c r="J182" s="25">
        <v>1010</v>
      </c>
      <c r="K182" s="25">
        <v>1657</v>
      </c>
      <c r="L182" s="25">
        <v>1403</v>
      </c>
    </row>
    <row r="183" spans="1:12" x14ac:dyDescent="0.25">
      <c r="A183" t="str">
        <f t="shared" si="3"/>
        <v>25 x 1,6</v>
      </c>
      <c r="B183">
        <v>25</v>
      </c>
      <c r="C183">
        <v>1.6</v>
      </c>
      <c r="D183">
        <v>9.5000000000000001E-2</v>
      </c>
      <c r="E183" s="25">
        <v>1432</v>
      </c>
      <c r="F183" s="25">
        <v>1124</v>
      </c>
      <c r="G183" s="25">
        <v>1274</v>
      </c>
      <c r="H183" s="25">
        <v>1019</v>
      </c>
      <c r="I183">
        <v>0.94299999999999995</v>
      </c>
      <c r="J183" s="25">
        <v>1237</v>
      </c>
      <c r="K183" s="25">
        <v>2013</v>
      </c>
      <c r="L183" s="25">
        <v>1736</v>
      </c>
    </row>
    <row r="184" spans="1:12" x14ac:dyDescent="0.25">
      <c r="A184" t="str">
        <f t="shared" si="3"/>
        <v>25 x 2</v>
      </c>
      <c r="B184">
        <v>25</v>
      </c>
      <c r="C184">
        <v>2</v>
      </c>
      <c r="D184">
        <v>9.2999999999999999E-2</v>
      </c>
      <c r="E184" s="25">
        <v>1737</v>
      </c>
      <c r="F184" s="25">
        <v>1364</v>
      </c>
      <c r="G184" s="25">
        <v>1483</v>
      </c>
      <c r="H184" s="25">
        <v>1186</v>
      </c>
      <c r="I184">
        <v>0.92400000000000004</v>
      </c>
      <c r="J184" s="25">
        <v>1468</v>
      </c>
      <c r="K184" s="25">
        <v>2363</v>
      </c>
      <c r="L184" s="25">
        <v>2085</v>
      </c>
    </row>
    <row r="185" spans="1:12" x14ac:dyDescent="0.25">
      <c r="A185" t="str">
        <f t="shared" si="3"/>
        <v>30 x 0,9</v>
      </c>
      <c r="B185">
        <v>30</v>
      </c>
      <c r="C185">
        <v>0.9</v>
      </c>
      <c r="D185">
        <v>0.11700000000000001</v>
      </c>
      <c r="E185" s="25">
        <v>1027</v>
      </c>
      <c r="F185">
        <v>0.80600000000000005</v>
      </c>
      <c r="G185" s="25">
        <v>1433</v>
      </c>
      <c r="H185">
        <v>0.95599999999999996</v>
      </c>
      <c r="I185" s="25">
        <v>1181</v>
      </c>
      <c r="J185" s="25">
        <v>1113</v>
      </c>
      <c r="K185" s="25">
        <v>2210</v>
      </c>
      <c r="L185" s="25">
        <v>1521</v>
      </c>
    </row>
    <row r="186" spans="1:12" x14ac:dyDescent="0.25">
      <c r="A186" t="str">
        <f t="shared" si="3"/>
        <v>30 x 1,25</v>
      </c>
      <c r="B186">
        <v>30</v>
      </c>
      <c r="C186">
        <v>1.25</v>
      </c>
      <c r="D186">
        <v>0.11600000000000001</v>
      </c>
      <c r="E186" s="25">
        <v>1397</v>
      </c>
      <c r="F186" s="25">
        <v>1097</v>
      </c>
      <c r="G186" s="25">
        <v>1895</v>
      </c>
      <c r="H186" s="25">
        <v>1263</v>
      </c>
      <c r="I186" s="25">
        <v>1165</v>
      </c>
      <c r="J186" s="25">
        <v>1492</v>
      </c>
      <c r="K186" s="25">
        <v>2949</v>
      </c>
      <c r="L186" s="25">
        <v>2059</v>
      </c>
    </row>
    <row r="187" spans="1:12" x14ac:dyDescent="0.25">
      <c r="A187" t="str">
        <f t="shared" si="3"/>
        <v>30 x 1,6</v>
      </c>
      <c r="B187">
        <v>30</v>
      </c>
      <c r="C187">
        <v>1.6</v>
      </c>
      <c r="D187">
        <v>0.115</v>
      </c>
      <c r="E187" s="25">
        <v>1752</v>
      </c>
      <c r="F187" s="25">
        <v>1375</v>
      </c>
      <c r="G187" s="25">
        <v>2307</v>
      </c>
      <c r="H187" s="25">
        <v>1538</v>
      </c>
      <c r="I187" s="25">
        <v>1148</v>
      </c>
      <c r="J187" s="25">
        <v>1842</v>
      </c>
      <c r="K187" s="25">
        <v>3620</v>
      </c>
      <c r="L187" s="25">
        <v>2565</v>
      </c>
    </row>
    <row r="188" spans="1:12" x14ac:dyDescent="0.25">
      <c r="A188" t="str">
        <f t="shared" si="3"/>
        <v>30 x 2</v>
      </c>
      <c r="B188">
        <v>30</v>
      </c>
      <c r="C188">
        <v>2</v>
      </c>
      <c r="D188">
        <v>0.113</v>
      </c>
      <c r="E188" s="25">
        <v>2137</v>
      </c>
      <c r="F188" s="25">
        <v>1678</v>
      </c>
      <c r="G188" s="25">
        <v>2720</v>
      </c>
      <c r="H188" s="25">
        <v>1813</v>
      </c>
      <c r="I188" s="25">
        <v>1128</v>
      </c>
      <c r="J188" s="25">
        <v>2208</v>
      </c>
      <c r="K188" s="25">
        <v>4304</v>
      </c>
      <c r="L188" s="25">
        <v>3105</v>
      </c>
    </row>
    <row r="189" spans="1:12" x14ac:dyDescent="0.25">
      <c r="A189" t="str">
        <f t="shared" si="3"/>
        <v>40 x 1,25</v>
      </c>
      <c r="B189">
        <v>40</v>
      </c>
      <c r="C189">
        <v>1.25</v>
      </c>
      <c r="D189">
        <v>0.156</v>
      </c>
      <c r="E189" s="25">
        <v>1897</v>
      </c>
      <c r="F189" s="25">
        <v>1489</v>
      </c>
      <c r="G189" s="25">
        <v>4694</v>
      </c>
      <c r="H189" s="25">
        <v>2347</v>
      </c>
      <c r="I189" s="25">
        <v>1573</v>
      </c>
      <c r="J189" s="25">
        <v>2737</v>
      </c>
      <c r="K189" s="25">
        <v>7244</v>
      </c>
      <c r="L189" s="25">
        <v>3746</v>
      </c>
    </row>
    <row r="190" spans="1:12" x14ac:dyDescent="0.25">
      <c r="A190" t="str">
        <f t="shared" si="3"/>
        <v>40 x 1,6</v>
      </c>
      <c r="B190">
        <v>40</v>
      </c>
      <c r="C190">
        <v>1.6</v>
      </c>
      <c r="D190">
        <v>0.155</v>
      </c>
      <c r="E190" s="25">
        <v>2392</v>
      </c>
      <c r="F190" s="25">
        <v>1877</v>
      </c>
      <c r="G190" s="25">
        <v>5791</v>
      </c>
      <c r="H190" s="25">
        <v>2895</v>
      </c>
      <c r="I190" s="25">
        <v>1556</v>
      </c>
      <c r="J190" s="25">
        <v>3412</v>
      </c>
      <c r="K190" s="25">
        <v>8999</v>
      </c>
      <c r="L190" s="25">
        <v>4703</v>
      </c>
    </row>
    <row r="191" spans="1:12" x14ac:dyDescent="0.25">
      <c r="A191" t="str">
        <f t="shared" si="3"/>
        <v>40 x 2</v>
      </c>
      <c r="B191">
        <v>40</v>
      </c>
      <c r="C191">
        <v>2</v>
      </c>
      <c r="D191">
        <v>0.153</v>
      </c>
      <c r="E191" s="25">
        <v>2937</v>
      </c>
      <c r="F191" s="25">
        <v>2306</v>
      </c>
      <c r="G191" s="25">
        <v>6935</v>
      </c>
      <c r="H191" s="25">
        <v>3468</v>
      </c>
      <c r="I191" s="25">
        <v>1537</v>
      </c>
      <c r="J191" s="25">
        <v>4136</v>
      </c>
      <c r="K191" s="25">
        <v>10857</v>
      </c>
      <c r="L191" s="25">
        <v>5745</v>
      </c>
    </row>
    <row r="192" spans="1:12" x14ac:dyDescent="0.25">
      <c r="A192" t="str">
        <f t="shared" si="3"/>
        <v>40 x 2,5</v>
      </c>
      <c r="B192">
        <v>40</v>
      </c>
      <c r="C192">
        <v>2.5</v>
      </c>
      <c r="D192">
        <v>0.151</v>
      </c>
      <c r="E192" s="25">
        <v>3589</v>
      </c>
      <c r="F192" s="25">
        <v>2817</v>
      </c>
      <c r="G192" s="25">
        <v>8209</v>
      </c>
      <c r="H192" s="25">
        <v>4104</v>
      </c>
      <c r="I192" s="25">
        <v>1512</v>
      </c>
      <c r="J192" s="25">
        <v>4971</v>
      </c>
      <c r="K192" s="25">
        <v>12958</v>
      </c>
      <c r="L192" s="25">
        <v>6971</v>
      </c>
    </row>
    <row r="193" spans="1:12" x14ac:dyDescent="0.25">
      <c r="A193" t="str">
        <f t="shared" si="3"/>
        <v>50 x 1,6</v>
      </c>
      <c r="B193">
        <v>50</v>
      </c>
      <c r="C193">
        <v>1.6</v>
      </c>
      <c r="D193">
        <v>0.19500000000000001</v>
      </c>
      <c r="E193" s="25">
        <v>3032</v>
      </c>
      <c r="F193" s="25">
        <v>2380</v>
      </c>
      <c r="G193" s="25">
        <v>11698</v>
      </c>
      <c r="H193" s="25">
        <v>4679</v>
      </c>
      <c r="I193" s="25">
        <v>1964</v>
      </c>
      <c r="J193" s="25">
        <v>5462</v>
      </c>
      <c r="K193" s="25">
        <v>18064</v>
      </c>
      <c r="L193" s="25">
        <v>7480</v>
      </c>
    </row>
    <row r="194" spans="1:12" x14ac:dyDescent="0.25">
      <c r="A194" t="str">
        <f t="shared" si="3"/>
        <v>50 x 2</v>
      </c>
      <c r="B194">
        <v>50</v>
      </c>
      <c r="C194">
        <v>2</v>
      </c>
      <c r="D194">
        <v>0.193</v>
      </c>
      <c r="E194" s="25">
        <v>3737</v>
      </c>
      <c r="F194" s="25">
        <v>2934</v>
      </c>
      <c r="G194" s="25">
        <v>14137</v>
      </c>
      <c r="H194" s="25">
        <v>5655</v>
      </c>
      <c r="I194" s="25">
        <v>1945</v>
      </c>
      <c r="J194" s="25">
        <v>6664</v>
      </c>
      <c r="K194" s="25">
        <v>21970</v>
      </c>
      <c r="L194" s="25">
        <v>9185</v>
      </c>
    </row>
    <row r="195" spans="1:12" x14ac:dyDescent="0.25">
      <c r="A195" t="str">
        <f t="shared" si="3"/>
        <v>50 x 2,5</v>
      </c>
      <c r="B195">
        <v>50</v>
      </c>
      <c r="C195">
        <v>2.5</v>
      </c>
      <c r="D195">
        <v>0.191</v>
      </c>
      <c r="E195" s="25">
        <v>4589</v>
      </c>
      <c r="F195" s="25">
        <v>3602</v>
      </c>
      <c r="G195" s="25">
        <v>16931</v>
      </c>
      <c r="H195" s="25">
        <v>6773</v>
      </c>
      <c r="I195" s="25">
        <v>1921</v>
      </c>
      <c r="J195" s="25">
        <v>8078</v>
      </c>
      <c r="K195" s="25">
        <v>26507</v>
      </c>
      <c r="L195" s="25">
        <v>11221</v>
      </c>
    </row>
    <row r="196" spans="1:12" x14ac:dyDescent="0.25">
      <c r="A196" t="str">
        <f t="shared" si="3"/>
        <v>50 x 3,2</v>
      </c>
      <c r="B196">
        <v>50</v>
      </c>
      <c r="C196">
        <v>3.2</v>
      </c>
      <c r="D196">
        <v>0.189</v>
      </c>
      <c r="E196" s="25">
        <v>5727</v>
      </c>
      <c r="F196" s="25">
        <v>4495</v>
      </c>
      <c r="G196" s="25">
        <v>20387</v>
      </c>
      <c r="H196" s="25">
        <v>8155</v>
      </c>
      <c r="I196" s="25">
        <v>1887</v>
      </c>
      <c r="J196" s="25">
        <v>9895</v>
      </c>
      <c r="K196" s="25">
        <v>32211</v>
      </c>
      <c r="L196" s="25">
        <v>13891</v>
      </c>
    </row>
    <row r="197" spans="1:12" x14ac:dyDescent="0.25">
      <c r="A197" t="str">
        <f t="shared" si="3"/>
        <v>60 x 1,6</v>
      </c>
      <c r="B197">
        <v>60</v>
      </c>
      <c r="C197">
        <v>1.6</v>
      </c>
      <c r="D197">
        <v>0.23</v>
      </c>
      <c r="E197">
        <v>3.67</v>
      </c>
      <c r="F197">
        <v>2.88</v>
      </c>
      <c r="G197">
        <v>20.67</v>
      </c>
      <c r="H197">
        <v>6.89</v>
      </c>
      <c r="I197">
        <v>2.37</v>
      </c>
      <c r="J197">
        <v>7.99</v>
      </c>
      <c r="K197">
        <v>31.78</v>
      </c>
      <c r="L197">
        <v>10.9</v>
      </c>
    </row>
    <row r="198" spans="1:12" x14ac:dyDescent="0.25">
      <c r="A198" t="str">
        <f t="shared" si="3"/>
        <v>60 x 2</v>
      </c>
      <c r="B198">
        <v>60</v>
      </c>
      <c r="C198">
        <v>2</v>
      </c>
      <c r="D198">
        <v>0.23</v>
      </c>
      <c r="E198">
        <v>4.54</v>
      </c>
      <c r="F198">
        <v>3.56</v>
      </c>
      <c r="G198">
        <v>25.13</v>
      </c>
      <c r="H198">
        <v>8.3800000000000008</v>
      </c>
      <c r="I198">
        <v>2.35</v>
      </c>
      <c r="J198">
        <v>9.7899999999999991</v>
      </c>
      <c r="K198">
        <v>38.840000000000003</v>
      </c>
      <c r="L198">
        <v>13.43</v>
      </c>
    </row>
    <row r="199" spans="1:12" x14ac:dyDescent="0.25">
      <c r="A199" t="str">
        <f t="shared" si="3"/>
        <v>60 x 2,5</v>
      </c>
      <c r="B199">
        <v>60</v>
      </c>
      <c r="C199">
        <v>2.5</v>
      </c>
      <c r="D199">
        <v>0.23</v>
      </c>
      <c r="E199">
        <v>5.59</v>
      </c>
      <c r="F199">
        <v>4.3899999999999997</v>
      </c>
      <c r="G199">
        <v>30.32</v>
      </c>
      <c r="H199">
        <v>10.11</v>
      </c>
      <c r="I199">
        <v>2.33</v>
      </c>
      <c r="J199">
        <v>11.93</v>
      </c>
      <c r="K199">
        <v>47.18</v>
      </c>
      <c r="L199">
        <v>16.47</v>
      </c>
    </row>
    <row r="200" spans="1:12" x14ac:dyDescent="0.25">
      <c r="A200" t="str">
        <f t="shared" si="3"/>
        <v>60 x 3,2</v>
      </c>
      <c r="B200">
        <v>60</v>
      </c>
      <c r="C200">
        <v>3.2</v>
      </c>
      <c r="D200">
        <v>0.23</v>
      </c>
      <c r="E200">
        <v>7.01</v>
      </c>
      <c r="F200">
        <v>5.5</v>
      </c>
      <c r="G200">
        <v>36.909999999999997</v>
      </c>
      <c r="H200">
        <v>12.3</v>
      </c>
      <c r="I200">
        <v>2.2999999999999998</v>
      </c>
      <c r="J200">
        <v>14.74</v>
      </c>
      <c r="K200">
        <v>57.92</v>
      </c>
      <c r="L200">
        <v>20.52</v>
      </c>
    </row>
    <row r="201" spans="1:12" x14ac:dyDescent="0.25">
      <c r="A201" t="str">
        <f t="shared" si="3"/>
        <v>60 x 4</v>
      </c>
      <c r="B201">
        <v>60</v>
      </c>
      <c r="C201">
        <v>4</v>
      </c>
      <c r="D201">
        <v>0.23</v>
      </c>
      <c r="E201">
        <v>8.5500000000000007</v>
      </c>
      <c r="F201">
        <v>6.71</v>
      </c>
      <c r="G201">
        <v>43.52</v>
      </c>
      <c r="H201">
        <v>14.51</v>
      </c>
      <c r="I201">
        <v>2.2599999999999998</v>
      </c>
      <c r="J201">
        <v>17.66</v>
      </c>
      <c r="K201">
        <v>68.87</v>
      </c>
      <c r="L201">
        <v>24.84</v>
      </c>
    </row>
    <row r="202" spans="1:12" x14ac:dyDescent="0.25">
      <c r="A202" t="str">
        <f t="shared" si="3"/>
        <v>80 x 2</v>
      </c>
      <c r="B202">
        <v>80</v>
      </c>
      <c r="C202">
        <v>2</v>
      </c>
      <c r="D202">
        <v>0.31</v>
      </c>
      <c r="E202">
        <v>6.14</v>
      </c>
      <c r="F202">
        <v>4.82</v>
      </c>
      <c r="G202">
        <v>61.67</v>
      </c>
      <c r="H202">
        <v>15.42</v>
      </c>
      <c r="I202">
        <v>3.17</v>
      </c>
      <c r="J202">
        <v>17.850000000000001</v>
      </c>
      <c r="K202">
        <v>94.67</v>
      </c>
      <c r="L202">
        <v>24.31</v>
      </c>
    </row>
    <row r="203" spans="1:12" x14ac:dyDescent="0.25">
      <c r="A203" t="str">
        <f t="shared" si="3"/>
        <v>80 x 2,5</v>
      </c>
      <c r="B203">
        <v>80</v>
      </c>
      <c r="C203">
        <v>2.5</v>
      </c>
      <c r="D203">
        <v>0.31</v>
      </c>
      <c r="E203">
        <v>7.59</v>
      </c>
      <c r="F203">
        <v>5.96</v>
      </c>
      <c r="G203">
        <v>75.099999999999994</v>
      </c>
      <c r="H203">
        <v>18.78</v>
      </c>
      <c r="I203">
        <v>3.15</v>
      </c>
      <c r="J203">
        <v>21.9</v>
      </c>
      <c r="K203">
        <v>115.9</v>
      </c>
      <c r="L203">
        <v>29.97</v>
      </c>
    </row>
    <row r="204" spans="1:12" x14ac:dyDescent="0.25">
      <c r="A204" t="str">
        <f t="shared" si="3"/>
        <v>80 x 3,2</v>
      </c>
      <c r="B204">
        <v>80</v>
      </c>
      <c r="C204">
        <v>3.2</v>
      </c>
      <c r="D204">
        <v>0.31</v>
      </c>
      <c r="E204">
        <v>9.57</v>
      </c>
      <c r="F204">
        <v>7.51</v>
      </c>
      <c r="G204">
        <v>92.65</v>
      </c>
      <c r="H204">
        <v>23.16</v>
      </c>
      <c r="I204">
        <v>3.11</v>
      </c>
      <c r="J204">
        <v>27.3</v>
      </c>
      <c r="K204">
        <v>143.97999999999999</v>
      </c>
      <c r="L204">
        <v>37.619999999999997</v>
      </c>
    </row>
    <row r="205" spans="1:12" x14ac:dyDescent="0.25">
      <c r="A205" t="str">
        <f t="shared" si="3"/>
        <v>80 x 4</v>
      </c>
      <c r="B205">
        <v>80</v>
      </c>
      <c r="C205">
        <v>4</v>
      </c>
      <c r="D205">
        <v>0.31</v>
      </c>
      <c r="E205">
        <v>11.75</v>
      </c>
      <c r="F205">
        <v>9.2200000000000006</v>
      </c>
      <c r="G205">
        <v>110.96</v>
      </c>
      <c r="H205">
        <v>27.74</v>
      </c>
      <c r="I205">
        <v>3.07</v>
      </c>
      <c r="J205">
        <v>33.090000000000003</v>
      </c>
      <c r="K205">
        <v>173.72</v>
      </c>
      <c r="L205">
        <v>45.96</v>
      </c>
    </row>
    <row r="206" spans="1:12" x14ac:dyDescent="0.25">
      <c r="A206" t="str">
        <f t="shared" si="3"/>
        <v>80 x 4,76</v>
      </c>
      <c r="B206">
        <v>80</v>
      </c>
      <c r="C206">
        <v>4.76</v>
      </c>
      <c r="D206">
        <v>0.3</v>
      </c>
      <c r="E206">
        <v>13.74</v>
      </c>
      <c r="F206">
        <v>10.79</v>
      </c>
      <c r="G206">
        <v>126.7</v>
      </c>
      <c r="H206">
        <v>31.67</v>
      </c>
      <c r="I206">
        <v>3.04</v>
      </c>
      <c r="J206">
        <v>38.22</v>
      </c>
      <c r="K206">
        <v>199.62</v>
      </c>
      <c r="L206">
        <v>53.48</v>
      </c>
    </row>
    <row r="207" spans="1:12" x14ac:dyDescent="0.25">
      <c r="A207" t="str">
        <f t="shared" si="3"/>
        <v>90 x 2,5</v>
      </c>
      <c r="B207">
        <v>90</v>
      </c>
      <c r="C207">
        <v>2.5</v>
      </c>
      <c r="D207">
        <v>0.35</v>
      </c>
      <c r="E207">
        <v>8.59</v>
      </c>
      <c r="F207">
        <v>6.74</v>
      </c>
      <c r="G207">
        <v>108.5</v>
      </c>
      <c r="H207">
        <v>24.11</v>
      </c>
      <c r="I207">
        <v>3.55</v>
      </c>
      <c r="J207">
        <v>28.01</v>
      </c>
      <c r="K207">
        <v>166.95</v>
      </c>
      <c r="L207">
        <v>38.22</v>
      </c>
    </row>
    <row r="208" spans="1:12" x14ac:dyDescent="0.25">
      <c r="A208" t="str">
        <f t="shared" si="3"/>
        <v>90 x 3,2</v>
      </c>
      <c r="B208">
        <v>90</v>
      </c>
      <c r="C208">
        <v>3.2</v>
      </c>
      <c r="D208">
        <v>0.35</v>
      </c>
      <c r="E208">
        <v>10.85</v>
      </c>
      <c r="F208">
        <v>8.51</v>
      </c>
      <c r="G208">
        <v>134.41999999999999</v>
      </c>
      <c r="H208">
        <v>29.87</v>
      </c>
      <c r="I208">
        <v>3.52</v>
      </c>
      <c r="J208">
        <v>35.020000000000003</v>
      </c>
      <c r="K208">
        <v>208.17</v>
      </c>
      <c r="L208">
        <v>48.09</v>
      </c>
    </row>
    <row r="209" spans="1:12" x14ac:dyDescent="0.25">
      <c r="A209" t="str">
        <f t="shared" si="3"/>
        <v>90 x 4</v>
      </c>
      <c r="B209">
        <v>90</v>
      </c>
      <c r="C209">
        <v>4</v>
      </c>
      <c r="D209">
        <v>0.35</v>
      </c>
      <c r="E209">
        <v>13.35</v>
      </c>
      <c r="F209">
        <v>10.48</v>
      </c>
      <c r="G209">
        <v>161.80000000000001</v>
      </c>
      <c r="H209">
        <v>35.96</v>
      </c>
      <c r="I209">
        <v>3.48</v>
      </c>
      <c r="J209">
        <v>42.6</v>
      </c>
      <c r="K209">
        <v>252.3</v>
      </c>
      <c r="L209">
        <v>58.92</v>
      </c>
    </row>
    <row r="210" spans="1:12" x14ac:dyDescent="0.25">
      <c r="A210" t="str">
        <f t="shared" si="3"/>
        <v>90 x 4,76</v>
      </c>
      <c r="B210">
        <v>90</v>
      </c>
      <c r="C210">
        <v>4.76</v>
      </c>
      <c r="D210">
        <v>0.34</v>
      </c>
      <c r="E210">
        <v>15.65</v>
      </c>
      <c r="F210">
        <v>12.28</v>
      </c>
      <c r="G210">
        <v>185.67</v>
      </c>
      <c r="H210">
        <v>41.26</v>
      </c>
      <c r="I210">
        <v>3.44</v>
      </c>
      <c r="J210">
        <v>49.39</v>
      </c>
      <c r="K210">
        <v>291.27</v>
      </c>
      <c r="L210">
        <v>68.75</v>
      </c>
    </row>
    <row r="211" spans="1:12" x14ac:dyDescent="0.25">
      <c r="A211" t="str">
        <f t="shared" si="3"/>
        <v>90 x 6,35</v>
      </c>
      <c r="B211">
        <v>90</v>
      </c>
      <c r="C211">
        <v>6.35</v>
      </c>
      <c r="D211">
        <v>0.34</v>
      </c>
      <c r="E211">
        <v>20.21</v>
      </c>
      <c r="F211">
        <v>15.86</v>
      </c>
      <c r="G211">
        <v>229.17</v>
      </c>
      <c r="H211">
        <v>50.93</v>
      </c>
      <c r="I211">
        <v>3.37</v>
      </c>
      <c r="J211">
        <v>62.3</v>
      </c>
      <c r="K211">
        <v>363.45</v>
      </c>
      <c r="L211">
        <v>87.88</v>
      </c>
    </row>
    <row r="212" spans="1:12" x14ac:dyDescent="0.25">
      <c r="A212" t="str">
        <f t="shared" si="3"/>
        <v>100 x 3,2</v>
      </c>
      <c r="B212">
        <v>100</v>
      </c>
      <c r="C212">
        <v>3.2</v>
      </c>
      <c r="D212">
        <v>0.39</v>
      </c>
      <c r="E212">
        <v>12.13</v>
      </c>
      <c r="F212">
        <v>9.52</v>
      </c>
      <c r="G212">
        <v>187.17</v>
      </c>
      <c r="H212">
        <v>37.43</v>
      </c>
      <c r="I212">
        <v>3.93</v>
      </c>
      <c r="J212">
        <v>43.7</v>
      </c>
      <c r="K212">
        <v>289.02999999999997</v>
      </c>
      <c r="L212">
        <v>59.84</v>
      </c>
    </row>
    <row r="213" spans="1:12" x14ac:dyDescent="0.25">
      <c r="A213" t="str">
        <f t="shared" si="3"/>
        <v>100 x 4</v>
      </c>
      <c r="B213">
        <v>100</v>
      </c>
      <c r="C213">
        <v>4</v>
      </c>
      <c r="D213">
        <v>0.39</v>
      </c>
      <c r="E213">
        <v>14.95</v>
      </c>
      <c r="F213">
        <v>11.73</v>
      </c>
      <c r="G213">
        <v>226.2</v>
      </c>
      <c r="H213">
        <v>45.24</v>
      </c>
      <c r="I213">
        <v>3.89</v>
      </c>
      <c r="J213">
        <v>53.31</v>
      </c>
      <c r="K213">
        <v>351.52</v>
      </c>
      <c r="L213">
        <v>73.48</v>
      </c>
    </row>
    <row r="214" spans="1:12" x14ac:dyDescent="0.25">
      <c r="A214" t="str">
        <f t="shared" si="3"/>
        <v>100 x 4,76</v>
      </c>
      <c r="B214">
        <v>100</v>
      </c>
      <c r="C214">
        <v>4.76</v>
      </c>
      <c r="D214">
        <v>0.38</v>
      </c>
      <c r="E214">
        <v>17.55</v>
      </c>
      <c r="F214">
        <v>13.78</v>
      </c>
      <c r="G214">
        <v>260.58</v>
      </c>
      <c r="H214">
        <v>52.12</v>
      </c>
      <c r="I214">
        <v>3.85</v>
      </c>
      <c r="J214">
        <v>61.98</v>
      </c>
      <c r="K214">
        <v>407.25</v>
      </c>
      <c r="L214">
        <v>85.94</v>
      </c>
    </row>
    <row r="215" spans="1:12" x14ac:dyDescent="0.25">
      <c r="A215" t="str">
        <f t="shared" si="3"/>
        <v>100 x 6,35</v>
      </c>
      <c r="B215">
        <v>100</v>
      </c>
      <c r="C215">
        <v>6.35</v>
      </c>
      <c r="D215">
        <v>0.38</v>
      </c>
      <c r="E215">
        <v>22.75</v>
      </c>
      <c r="F215">
        <v>17.86</v>
      </c>
      <c r="G215">
        <v>324.36</v>
      </c>
      <c r="H215">
        <v>64.87</v>
      </c>
      <c r="I215">
        <v>3.78</v>
      </c>
      <c r="J215">
        <v>78.67</v>
      </c>
      <c r="K215">
        <v>512.33000000000004</v>
      </c>
      <c r="L215">
        <v>110.39</v>
      </c>
    </row>
    <row r="216" spans="1:12" x14ac:dyDescent="0.25">
      <c r="A216" t="str">
        <f t="shared" si="3"/>
        <v>110 x 3,2</v>
      </c>
      <c r="B216">
        <v>110</v>
      </c>
      <c r="C216">
        <v>3.2</v>
      </c>
      <c r="D216">
        <v>0.43</v>
      </c>
      <c r="E216">
        <v>13.41</v>
      </c>
      <c r="F216">
        <v>10.52</v>
      </c>
      <c r="G216">
        <v>252.17</v>
      </c>
      <c r="H216">
        <v>45.85</v>
      </c>
      <c r="I216">
        <v>4.34</v>
      </c>
      <c r="J216">
        <v>53.34</v>
      </c>
      <c r="K216">
        <v>388.47</v>
      </c>
      <c r="L216">
        <v>72.87</v>
      </c>
    </row>
    <row r="217" spans="1:12" x14ac:dyDescent="0.25">
      <c r="A217" t="str">
        <f t="shared" si="3"/>
        <v>110 x 4</v>
      </c>
      <c r="B217">
        <v>110</v>
      </c>
      <c r="C217">
        <v>4</v>
      </c>
      <c r="D217">
        <v>0.43</v>
      </c>
      <c r="E217">
        <v>16.55</v>
      </c>
      <c r="F217">
        <v>12.99</v>
      </c>
      <c r="G217">
        <v>305.74</v>
      </c>
      <c r="H217">
        <v>55.59</v>
      </c>
      <c r="I217">
        <v>4.3</v>
      </c>
      <c r="J217">
        <v>65.23</v>
      </c>
      <c r="K217">
        <v>473.79</v>
      </c>
      <c r="L217">
        <v>89.64</v>
      </c>
    </row>
    <row r="218" spans="1:12" x14ac:dyDescent="0.25">
      <c r="A218" t="str">
        <f t="shared" si="3"/>
        <v>110 x 4,76</v>
      </c>
      <c r="B218">
        <v>110</v>
      </c>
      <c r="C218">
        <v>4.76</v>
      </c>
      <c r="D218">
        <v>0.42</v>
      </c>
      <c r="E218">
        <v>19.45</v>
      </c>
      <c r="F218">
        <v>15.27</v>
      </c>
      <c r="G218">
        <v>353.32</v>
      </c>
      <c r="H218">
        <v>64.239999999999995</v>
      </c>
      <c r="I218">
        <v>4.26</v>
      </c>
      <c r="J218">
        <v>76</v>
      </c>
      <c r="K218">
        <v>550.44000000000005</v>
      </c>
      <c r="L218">
        <v>105.02</v>
      </c>
    </row>
    <row r="219" spans="1:12" x14ac:dyDescent="0.25">
      <c r="A219" t="str">
        <f t="shared" si="3"/>
        <v>110 x 6,35</v>
      </c>
      <c r="B219">
        <v>110</v>
      </c>
      <c r="C219">
        <v>6.35</v>
      </c>
      <c r="D219">
        <v>0.42</v>
      </c>
      <c r="E219">
        <v>25.29</v>
      </c>
      <c r="F219">
        <v>19.850000000000001</v>
      </c>
      <c r="G219">
        <v>442.81</v>
      </c>
      <c r="H219">
        <v>80.510000000000005</v>
      </c>
      <c r="I219">
        <v>4.18</v>
      </c>
      <c r="J219">
        <v>96.94</v>
      </c>
      <c r="K219">
        <v>696.88</v>
      </c>
      <c r="L219">
        <v>135.44999999999999</v>
      </c>
    </row>
    <row r="220" spans="1:12" x14ac:dyDescent="0.25">
      <c r="A220" t="str">
        <f t="shared" si="3"/>
        <v>120 x 4</v>
      </c>
      <c r="B220">
        <v>120</v>
      </c>
      <c r="C220">
        <v>4</v>
      </c>
      <c r="D220">
        <v>0.47</v>
      </c>
      <c r="E220">
        <v>18.149999999999999</v>
      </c>
      <c r="F220">
        <v>14.25</v>
      </c>
      <c r="G220">
        <v>402.03</v>
      </c>
      <c r="H220">
        <v>67</v>
      </c>
      <c r="I220">
        <v>4.71</v>
      </c>
      <c r="J220">
        <v>78.34</v>
      </c>
      <c r="K220">
        <v>621.49</v>
      </c>
      <c r="L220">
        <v>107.4</v>
      </c>
    </row>
    <row r="221" spans="1:12" x14ac:dyDescent="0.25">
      <c r="A221" t="str">
        <f t="shared" si="3"/>
        <v>120 x 5</v>
      </c>
      <c r="B221">
        <v>120</v>
      </c>
      <c r="C221">
        <v>5</v>
      </c>
      <c r="D221">
        <v>0.46</v>
      </c>
      <c r="E221">
        <v>22.36</v>
      </c>
      <c r="F221">
        <v>17.55</v>
      </c>
      <c r="G221">
        <v>485.14</v>
      </c>
      <c r="H221">
        <v>80.86</v>
      </c>
      <c r="I221">
        <v>4.66</v>
      </c>
      <c r="J221">
        <v>95.48</v>
      </c>
      <c r="K221">
        <v>754.89</v>
      </c>
      <c r="L221">
        <v>131.77000000000001</v>
      </c>
    </row>
    <row r="222" spans="1:12" x14ac:dyDescent="0.25">
      <c r="A222" t="str">
        <f t="shared" si="3"/>
        <v>120 x 6</v>
      </c>
      <c r="B222">
        <v>120</v>
      </c>
      <c r="C222">
        <v>6</v>
      </c>
      <c r="D222">
        <v>0.46</v>
      </c>
      <c r="E222">
        <v>26.43</v>
      </c>
      <c r="F222">
        <v>20.75</v>
      </c>
      <c r="G222">
        <v>561.74</v>
      </c>
      <c r="H222">
        <v>93.62</v>
      </c>
      <c r="I222">
        <v>4.6100000000000003</v>
      </c>
      <c r="J222">
        <v>111.67</v>
      </c>
      <c r="K222">
        <v>879.44</v>
      </c>
      <c r="L222">
        <v>155.12</v>
      </c>
    </row>
    <row r="223" spans="1:12" x14ac:dyDescent="0.25">
      <c r="A223" t="str">
        <f t="shared" si="3"/>
        <v>120 x 8</v>
      </c>
      <c r="B223">
        <v>120</v>
      </c>
      <c r="C223">
        <v>8</v>
      </c>
      <c r="D223">
        <v>0.45</v>
      </c>
      <c r="E223">
        <v>34.19</v>
      </c>
      <c r="F223">
        <v>26.84</v>
      </c>
      <c r="G223">
        <v>696.31</v>
      </c>
      <c r="H223">
        <v>116.05</v>
      </c>
      <c r="I223">
        <v>4.51</v>
      </c>
      <c r="J223">
        <v>141.28</v>
      </c>
      <c r="K223">
        <v>1101.8900000000001</v>
      </c>
      <c r="L223">
        <v>198.73</v>
      </c>
    </row>
    <row r="224" spans="1:12" x14ac:dyDescent="0.25">
      <c r="A224" t="str">
        <f t="shared" si="3"/>
        <v>120 x 10</v>
      </c>
      <c r="B224">
        <v>120</v>
      </c>
      <c r="C224">
        <v>10</v>
      </c>
      <c r="D224">
        <v>0.45</v>
      </c>
      <c r="E224">
        <v>41.42</v>
      </c>
      <c r="F224">
        <v>32.520000000000003</v>
      </c>
      <c r="G224">
        <v>807.47</v>
      </c>
      <c r="H224">
        <v>134.58000000000001</v>
      </c>
      <c r="I224">
        <v>4.42</v>
      </c>
      <c r="J224">
        <v>167.31</v>
      </c>
      <c r="K224">
        <v>1288.8399999999999</v>
      </c>
      <c r="L224">
        <v>238.14</v>
      </c>
    </row>
    <row r="225" spans="1:12" x14ac:dyDescent="0.25">
      <c r="A225" t="str">
        <f t="shared" si="3"/>
        <v>120 x 12</v>
      </c>
      <c r="B225">
        <v>120</v>
      </c>
      <c r="C225">
        <v>12</v>
      </c>
      <c r="D225">
        <v>0.44</v>
      </c>
      <c r="E225">
        <v>48.13</v>
      </c>
      <c r="F225">
        <v>37.78</v>
      </c>
      <c r="G225">
        <v>896.91</v>
      </c>
      <c r="H225">
        <v>149.49</v>
      </c>
      <c r="I225">
        <v>4.32</v>
      </c>
      <c r="J225">
        <v>189.89</v>
      </c>
      <c r="K225">
        <v>1440.4</v>
      </c>
      <c r="L225">
        <v>273.26</v>
      </c>
    </row>
    <row r="226" spans="1:12" x14ac:dyDescent="0.25">
      <c r="A226" t="str">
        <f t="shared" si="3"/>
        <v>140 x 4</v>
      </c>
      <c r="B226">
        <v>140</v>
      </c>
      <c r="C226">
        <v>4</v>
      </c>
      <c r="D226">
        <v>0.55000000000000004</v>
      </c>
      <c r="E226">
        <v>21.35</v>
      </c>
      <c r="F226">
        <v>16.760000000000002</v>
      </c>
      <c r="G226">
        <v>651.26</v>
      </c>
      <c r="H226">
        <v>93.04</v>
      </c>
      <c r="I226">
        <v>5.52</v>
      </c>
      <c r="J226">
        <v>108.17</v>
      </c>
      <c r="K226">
        <v>1002.82</v>
      </c>
      <c r="L226">
        <v>147.72</v>
      </c>
    </row>
    <row r="227" spans="1:12" x14ac:dyDescent="0.25">
      <c r="A227" t="str">
        <f t="shared" si="3"/>
        <v>140 x 5</v>
      </c>
      <c r="B227">
        <v>140</v>
      </c>
      <c r="C227">
        <v>5</v>
      </c>
      <c r="D227">
        <v>0.54</v>
      </c>
      <c r="E227">
        <v>26.36</v>
      </c>
      <c r="F227">
        <v>20.69</v>
      </c>
      <c r="G227">
        <v>790.05</v>
      </c>
      <c r="H227">
        <v>112.86</v>
      </c>
      <c r="I227">
        <v>5.48</v>
      </c>
      <c r="J227">
        <v>132.33000000000001</v>
      </c>
      <c r="K227">
        <v>1223.68</v>
      </c>
      <c r="L227">
        <v>181.77</v>
      </c>
    </row>
    <row r="228" spans="1:12" x14ac:dyDescent="0.25">
      <c r="A228" t="str">
        <f t="shared" si="3"/>
        <v>140 x 6</v>
      </c>
      <c r="B228">
        <v>140</v>
      </c>
      <c r="C228">
        <v>6</v>
      </c>
      <c r="D228">
        <v>0.54</v>
      </c>
      <c r="E228">
        <v>31.23</v>
      </c>
      <c r="F228">
        <v>24.52</v>
      </c>
      <c r="G228">
        <v>919.78</v>
      </c>
      <c r="H228">
        <v>131.4</v>
      </c>
      <c r="I228">
        <v>5.43</v>
      </c>
      <c r="J228">
        <v>155.38</v>
      </c>
      <c r="K228">
        <v>1432.5</v>
      </c>
      <c r="L228">
        <v>214.64</v>
      </c>
    </row>
    <row r="229" spans="1:12" x14ac:dyDescent="0.25">
      <c r="A229" t="str">
        <f t="shared" si="3"/>
        <v>140 x 8</v>
      </c>
      <c r="B229">
        <v>140</v>
      </c>
      <c r="C229">
        <v>8</v>
      </c>
      <c r="D229">
        <v>0.53</v>
      </c>
      <c r="E229">
        <v>40.590000000000003</v>
      </c>
      <c r="F229">
        <v>31.86</v>
      </c>
      <c r="G229">
        <v>1153.05</v>
      </c>
      <c r="H229">
        <v>164.72</v>
      </c>
      <c r="I229">
        <v>5.33</v>
      </c>
      <c r="J229">
        <v>198.19</v>
      </c>
      <c r="K229">
        <v>1813.95</v>
      </c>
      <c r="L229">
        <v>276.81</v>
      </c>
    </row>
    <row r="230" spans="1:12" x14ac:dyDescent="0.25">
      <c r="A230" t="str">
        <f t="shared" si="3"/>
        <v>140 x 10</v>
      </c>
      <c r="B230">
        <v>140</v>
      </c>
      <c r="C230">
        <v>10</v>
      </c>
      <c r="D230">
        <v>0.53</v>
      </c>
      <c r="E230">
        <v>49.42</v>
      </c>
      <c r="F230">
        <v>38.799999999999997</v>
      </c>
      <c r="G230">
        <v>1353.13</v>
      </c>
      <c r="H230">
        <v>193.3</v>
      </c>
      <c r="I230">
        <v>5.23</v>
      </c>
      <c r="J230">
        <v>236.73</v>
      </c>
      <c r="K230">
        <v>2147.06</v>
      </c>
      <c r="L230">
        <v>334.14</v>
      </c>
    </row>
    <row r="231" spans="1:12" x14ac:dyDescent="0.25">
      <c r="A231" t="str">
        <f t="shared" si="3"/>
        <v>140 x 12</v>
      </c>
      <c r="B231">
        <v>140</v>
      </c>
      <c r="C231">
        <v>12</v>
      </c>
      <c r="D231">
        <v>0.52</v>
      </c>
      <c r="E231">
        <v>57.73</v>
      </c>
      <c r="F231">
        <v>45.32</v>
      </c>
      <c r="G231">
        <v>1522.01</v>
      </c>
      <c r="H231">
        <v>217.43</v>
      </c>
      <c r="I231">
        <v>5.13</v>
      </c>
      <c r="J231">
        <v>271.13</v>
      </c>
      <c r="K231">
        <v>2431.84</v>
      </c>
      <c r="L231">
        <v>386.54</v>
      </c>
    </row>
    <row r="232" spans="1:12" x14ac:dyDescent="0.25">
      <c r="A232" t="str">
        <f t="shared" si="3"/>
        <v>150 x 4</v>
      </c>
      <c r="B232">
        <v>150</v>
      </c>
      <c r="C232">
        <v>4</v>
      </c>
      <c r="D232">
        <v>0.59</v>
      </c>
      <c r="E232">
        <v>22.95</v>
      </c>
      <c r="F232">
        <v>18.010000000000002</v>
      </c>
      <c r="G232">
        <v>807.39</v>
      </c>
      <c r="H232">
        <v>107.65</v>
      </c>
      <c r="I232">
        <v>5.93</v>
      </c>
      <c r="J232">
        <v>124.88</v>
      </c>
      <c r="K232">
        <v>1241.25</v>
      </c>
      <c r="L232">
        <v>170.28</v>
      </c>
    </row>
    <row r="233" spans="1:12" x14ac:dyDescent="0.25">
      <c r="A233" t="str">
        <f t="shared" si="3"/>
        <v>150 x 5</v>
      </c>
      <c r="B233">
        <v>150</v>
      </c>
      <c r="C233">
        <v>5</v>
      </c>
      <c r="D233">
        <v>0.57999999999999996</v>
      </c>
      <c r="E233">
        <v>28.36</v>
      </c>
      <c r="F233">
        <v>22.26</v>
      </c>
      <c r="G233">
        <v>981.52</v>
      </c>
      <c r="H233">
        <v>130.87</v>
      </c>
      <c r="I233">
        <v>5.88</v>
      </c>
      <c r="J233">
        <v>153.01</v>
      </c>
      <c r="K233">
        <v>1517.32</v>
      </c>
      <c r="L233">
        <v>209.77</v>
      </c>
    </row>
    <row r="234" spans="1:12" x14ac:dyDescent="0.25">
      <c r="A234" t="str">
        <f t="shared" si="3"/>
        <v>150 x 6</v>
      </c>
      <c r="B234">
        <v>150</v>
      </c>
      <c r="C234">
        <v>6</v>
      </c>
      <c r="D234">
        <v>0.57999999999999996</v>
      </c>
      <c r="E234">
        <v>33.630000000000003</v>
      </c>
      <c r="F234">
        <v>26.4</v>
      </c>
      <c r="G234">
        <v>1145.1199999999999</v>
      </c>
      <c r="H234">
        <v>152.68</v>
      </c>
      <c r="I234">
        <v>5.84</v>
      </c>
      <c r="J234">
        <v>179.94</v>
      </c>
      <c r="K234">
        <v>1779.59</v>
      </c>
      <c r="L234">
        <v>248</v>
      </c>
    </row>
    <row r="235" spans="1:12" x14ac:dyDescent="0.25">
      <c r="A235" t="str">
        <f t="shared" si="3"/>
        <v>150 x 8</v>
      </c>
      <c r="B235">
        <v>150</v>
      </c>
      <c r="C235">
        <v>8</v>
      </c>
      <c r="D235">
        <v>0.56999999999999995</v>
      </c>
      <c r="E235">
        <v>43.79</v>
      </c>
      <c r="F235">
        <v>34.380000000000003</v>
      </c>
      <c r="G235">
        <v>1441.91</v>
      </c>
      <c r="H235">
        <v>192.26</v>
      </c>
      <c r="I235">
        <v>5.74</v>
      </c>
      <c r="J235">
        <v>230.24</v>
      </c>
      <c r="K235">
        <v>2262.62</v>
      </c>
      <c r="L235">
        <v>320.64999999999998</v>
      </c>
    </row>
    <row r="236" spans="1:12" x14ac:dyDescent="0.25">
      <c r="A236" t="str">
        <f t="shared" si="3"/>
        <v>150 x 10</v>
      </c>
      <c r="B236">
        <v>150</v>
      </c>
      <c r="C236">
        <v>10</v>
      </c>
      <c r="D236">
        <v>0.56999999999999995</v>
      </c>
      <c r="E236">
        <v>53.42</v>
      </c>
      <c r="F236">
        <v>41.94</v>
      </c>
      <c r="G236">
        <v>1699.97</v>
      </c>
      <c r="H236">
        <v>226.66</v>
      </c>
      <c r="I236">
        <v>5.64</v>
      </c>
      <c r="J236">
        <v>275.94</v>
      </c>
      <c r="K236">
        <v>2690.17</v>
      </c>
      <c r="L236">
        <v>388.14</v>
      </c>
    </row>
    <row r="237" spans="1:12" x14ac:dyDescent="0.25">
      <c r="A237" t="str">
        <f t="shared" si="3"/>
        <v>150 x 12</v>
      </c>
      <c r="B237">
        <v>150</v>
      </c>
      <c r="C237">
        <v>12</v>
      </c>
      <c r="D237">
        <v>0.56000000000000005</v>
      </c>
      <c r="E237">
        <v>62.53</v>
      </c>
      <c r="F237">
        <v>49.09</v>
      </c>
      <c r="G237">
        <v>1921.46</v>
      </c>
      <c r="H237">
        <v>256.2</v>
      </c>
      <c r="I237">
        <v>5.54</v>
      </c>
      <c r="J237">
        <v>317.16000000000003</v>
      </c>
      <c r="K237">
        <v>3062.22</v>
      </c>
      <c r="L237">
        <v>450.38</v>
      </c>
    </row>
    <row r="238" spans="1:12" x14ac:dyDescent="0.25">
      <c r="A238" t="str">
        <f t="shared" si="3"/>
        <v>180 x 5</v>
      </c>
      <c r="B238">
        <v>180</v>
      </c>
      <c r="C238">
        <v>5</v>
      </c>
      <c r="D238">
        <v>0.7</v>
      </c>
      <c r="E238">
        <v>34.36</v>
      </c>
      <c r="F238">
        <v>26.97</v>
      </c>
      <c r="G238">
        <v>1735.93</v>
      </c>
      <c r="H238">
        <v>192.88</v>
      </c>
      <c r="I238">
        <v>7.11</v>
      </c>
      <c r="J238">
        <v>224.04</v>
      </c>
      <c r="K238">
        <v>2671.24</v>
      </c>
      <c r="L238">
        <v>305.77</v>
      </c>
    </row>
    <row r="239" spans="1:12" x14ac:dyDescent="0.25">
      <c r="A239" t="str">
        <f t="shared" ref="A239:A263" si="4">+_xlfn.CONCAT(B239," x ",C239)</f>
        <v>180 x 6</v>
      </c>
      <c r="B239">
        <v>180</v>
      </c>
      <c r="C239">
        <v>6</v>
      </c>
      <c r="D239">
        <v>0.7</v>
      </c>
      <c r="E239">
        <v>40.83</v>
      </c>
      <c r="F239">
        <v>32.049999999999997</v>
      </c>
      <c r="G239">
        <v>2035.27</v>
      </c>
      <c r="H239">
        <v>226.14</v>
      </c>
      <c r="I239">
        <v>7.06</v>
      </c>
      <c r="J239">
        <v>264.39999999999998</v>
      </c>
      <c r="K239">
        <v>3146.31</v>
      </c>
      <c r="L239">
        <v>362.48</v>
      </c>
    </row>
    <row r="240" spans="1:12" x14ac:dyDescent="0.25">
      <c r="A240" t="str">
        <f t="shared" si="4"/>
        <v>180 x 8</v>
      </c>
      <c r="B240">
        <v>180</v>
      </c>
      <c r="C240">
        <v>8</v>
      </c>
      <c r="D240">
        <v>0.69</v>
      </c>
      <c r="E240">
        <v>53.39</v>
      </c>
      <c r="F240">
        <v>41.91</v>
      </c>
      <c r="G240">
        <v>2588.88</v>
      </c>
      <c r="H240">
        <v>287.64999999999998</v>
      </c>
      <c r="I240">
        <v>6.96</v>
      </c>
      <c r="J240">
        <v>340.81</v>
      </c>
      <c r="K240">
        <v>4036.8</v>
      </c>
      <c r="L240">
        <v>471.37</v>
      </c>
    </row>
    <row r="241" spans="1:12" x14ac:dyDescent="0.25">
      <c r="A241" t="str">
        <f t="shared" si="4"/>
        <v>180 x 10</v>
      </c>
      <c r="B241">
        <v>180</v>
      </c>
      <c r="C241">
        <v>10</v>
      </c>
      <c r="D241">
        <v>0.69</v>
      </c>
      <c r="E241">
        <v>65.42</v>
      </c>
      <c r="F241">
        <v>51.36</v>
      </c>
      <c r="G241">
        <v>3084.59</v>
      </c>
      <c r="H241">
        <v>342.73</v>
      </c>
      <c r="I241">
        <v>6.87</v>
      </c>
      <c r="J241">
        <v>411.57</v>
      </c>
      <c r="K241">
        <v>4847.53</v>
      </c>
      <c r="L241">
        <v>574.14</v>
      </c>
    </row>
    <row r="242" spans="1:12" x14ac:dyDescent="0.25">
      <c r="A242" t="str">
        <f t="shared" si="4"/>
        <v>180 x 12</v>
      </c>
      <c r="B242">
        <v>180</v>
      </c>
      <c r="C242">
        <v>12</v>
      </c>
      <c r="D242">
        <v>0.68</v>
      </c>
      <c r="E242">
        <v>76.930000000000007</v>
      </c>
      <c r="F242">
        <v>60.39</v>
      </c>
      <c r="G242">
        <v>3525.06</v>
      </c>
      <c r="H242">
        <v>391.67</v>
      </c>
      <c r="I242">
        <v>6.77</v>
      </c>
      <c r="J242">
        <v>476.82</v>
      </c>
      <c r="K242">
        <v>5578.34</v>
      </c>
      <c r="L242">
        <v>670.7</v>
      </c>
    </row>
    <row r="243" spans="1:12" x14ac:dyDescent="0.25">
      <c r="A243" t="str">
        <f t="shared" si="4"/>
        <v>200 x 5</v>
      </c>
      <c r="B243">
        <v>200</v>
      </c>
      <c r="C243">
        <v>5</v>
      </c>
      <c r="D243">
        <v>0.78</v>
      </c>
      <c r="E243">
        <v>38.36</v>
      </c>
      <c r="F243">
        <v>30.11</v>
      </c>
      <c r="G243">
        <v>2408.88</v>
      </c>
      <c r="H243">
        <v>240.89</v>
      </c>
      <c r="I243">
        <v>7.92</v>
      </c>
      <c r="J243">
        <v>278.89999999999998</v>
      </c>
      <c r="K243">
        <v>3698.02</v>
      </c>
      <c r="L243">
        <v>379.77</v>
      </c>
    </row>
    <row r="244" spans="1:12" x14ac:dyDescent="0.25">
      <c r="A244" t="str">
        <f t="shared" si="4"/>
        <v>200 x 6</v>
      </c>
      <c r="B244">
        <v>200</v>
      </c>
      <c r="C244">
        <v>6</v>
      </c>
      <c r="D244">
        <v>0.78</v>
      </c>
      <c r="E244">
        <v>45.63</v>
      </c>
      <c r="F244">
        <v>35.82</v>
      </c>
      <c r="G244">
        <v>2831.13</v>
      </c>
      <c r="H244">
        <v>283.11</v>
      </c>
      <c r="I244">
        <v>7.88</v>
      </c>
      <c r="J244">
        <v>329.71</v>
      </c>
      <c r="K244">
        <v>4364.6499999999996</v>
      </c>
      <c r="L244">
        <v>450.8</v>
      </c>
    </row>
    <row r="245" spans="1:12" x14ac:dyDescent="0.25">
      <c r="A245" t="str">
        <f t="shared" si="4"/>
        <v>200 x 8</v>
      </c>
      <c r="B245">
        <v>200</v>
      </c>
      <c r="C245">
        <v>8</v>
      </c>
      <c r="D245">
        <v>0.77</v>
      </c>
      <c r="E245">
        <v>59.79</v>
      </c>
      <c r="F245">
        <v>46.94</v>
      </c>
      <c r="G245">
        <v>3619.16</v>
      </c>
      <c r="H245">
        <v>361.92</v>
      </c>
      <c r="I245">
        <v>7.78</v>
      </c>
      <c r="J245">
        <v>426.52</v>
      </c>
      <c r="K245">
        <v>5624.39</v>
      </c>
      <c r="L245">
        <v>587.85</v>
      </c>
    </row>
    <row r="246" spans="1:12" x14ac:dyDescent="0.25">
      <c r="A246" t="str">
        <f t="shared" si="4"/>
        <v>200 x 10</v>
      </c>
      <c r="B246">
        <v>200</v>
      </c>
      <c r="C246">
        <v>10</v>
      </c>
      <c r="D246">
        <v>0.77</v>
      </c>
      <c r="E246">
        <v>73.42</v>
      </c>
      <c r="F246">
        <v>57.64</v>
      </c>
      <c r="G246">
        <v>4334.41</v>
      </c>
      <c r="H246">
        <v>433.44</v>
      </c>
      <c r="I246">
        <v>7.68</v>
      </c>
      <c r="J246">
        <v>516.99</v>
      </c>
      <c r="K246">
        <v>6785.78</v>
      </c>
      <c r="L246">
        <v>718.14</v>
      </c>
    </row>
    <row r="247" spans="1:12" x14ac:dyDescent="0.25">
      <c r="A247" t="str">
        <f t="shared" si="4"/>
        <v>200 x 12</v>
      </c>
      <c r="B247">
        <v>200</v>
      </c>
      <c r="C247">
        <v>12</v>
      </c>
      <c r="D247">
        <v>0.76</v>
      </c>
      <c r="E247">
        <v>86.53</v>
      </c>
      <c r="F247">
        <v>67.930000000000007</v>
      </c>
      <c r="G247">
        <v>4979.83</v>
      </c>
      <c r="H247">
        <v>497.98</v>
      </c>
      <c r="I247">
        <v>7.59</v>
      </c>
      <c r="J247">
        <v>601.27</v>
      </c>
      <c r="K247">
        <v>7848.57</v>
      </c>
      <c r="L247">
        <v>841.58</v>
      </c>
    </row>
    <row r="248" spans="1:12" x14ac:dyDescent="0.25">
      <c r="A248" t="str">
        <f t="shared" si="4"/>
        <v>250 x 6</v>
      </c>
      <c r="B248">
        <v>250</v>
      </c>
      <c r="C248">
        <v>6</v>
      </c>
      <c r="D248">
        <v>0.98</v>
      </c>
      <c r="E248">
        <v>57.63</v>
      </c>
      <c r="F248">
        <v>45.24</v>
      </c>
      <c r="G248">
        <v>5669.3</v>
      </c>
      <c r="H248">
        <v>453.5</v>
      </c>
      <c r="I248">
        <v>9.92</v>
      </c>
      <c r="J248">
        <v>524.5</v>
      </c>
      <c r="K248">
        <v>8695.7000000000007</v>
      </c>
      <c r="L248">
        <v>713.6</v>
      </c>
    </row>
    <row r="249" spans="1:12" x14ac:dyDescent="0.25">
      <c r="A249" t="str">
        <f t="shared" si="4"/>
        <v>250 x 8</v>
      </c>
      <c r="B249">
        <v>250</v>
      </c>
      <c r="C249">
        <v>8</v>
      </c>
      <c r="D249">
        <v>0.97</v>
      </c>
      <c r="E249">
        <v>75.790000000000006</v>
      </c>
      <c r="F249">
        <v>59.5</v>
      </c>
      <c r="G249">
        <v>7311.3</v>
      </c>
      <c r="H249">
        <v>584.9</v>
      </c>
      <c r="I249">
        <v>9.82</v>
      </c>
      <c r="J249">
        <v>682.8</v>
      </c>
      <c r="K249">
        <v>11290.2</v>
      </c>
      <c r="L249">
        <v>935</v>
      </c>
    </row>
    <row r="250" spans="1:12" x14ac:dyDescent="0.25">
      <c r="A250" t="str">
        <f t="shared" si="4"/>
        <v>250 x 10</v>
      </c>
      <c r="B250">
        <v>250</v>
      </c>
      <c r="C250">
        <v>10</v>
      </c>
      <c r="D250">
        <v>0.97</v>
      </c>
      <c r="E250">
        <v>93.42</v>
      </c>
      <c r="F250">
        <v>73.34</v>
      </c>
      <c r="G250">
        <v>8835.7999999999993</v>
      </c>
      <c r="H250">
        <v>706.9</v>
      </c>
      <c r="I250">
        <v>9.73</v>
      </c>
      <c r="J250">
        <v>833</v>
      </c>
      <c r="K250">
        <v>13731.4</v>
      </c>
      <c r="L250">
        <v>1148.0999999999999</v>
      </c>
    </row>
    <row r="251" spans="1:12" x14ac:dyDescent="0.25">
      <c r="A251" t="str">
        <f t="shared" si="4"/>
        <v>250 x 12</v>
      </c>
      <c r="B251">
        <v>250</v>
      </c>
      <c r="C251">
        <v>12</v>
      </c>
      <c r="D251">
        <v>0.96</v>
      </c>
      <c r="E251">
        <v>110.53</v>
      </c>
      <c r="F251">
        <v>86.77</v>
      </c>
      <c r="G251">
        <v>10246.700000000001</v>
      </c>
      <c r="H251">
        <v>819.7</v>
      </c>
      <c r="I251">
        <v>9.6300000000000008</v>
      </c>
      <c r="J251">
        <v>975.4</v>
      </c>
      <c r="K251">
        <v>16019</v>
      </c>
      <c r="L251">
        <v>1352.8</v>
      </c>
    </row>
    <row r="252" spans="1:12" x14ac:dyDescent="0.25">
      <c r="A252" t="str">
        <f t="shared" si="4"/>
        <v>300 x 6</v>
      </c>
      <c r="B252">
        <v>300</v>
      </c>
      <c r="C252">
        <v>6</v>
      </c>
      <c r="D252">
        <v>1.18</v>
      </c>
      <c r="E252">
        <v>69.63</v>
      </c>
      <c r="F252">
        <v>54.66</v>
      </c>
      <c r="G252">
        <v>9959.5</v>
      </c>
      <c r="H252">
        <v>664</v>
      </c>
      <c r="I252">
        <v>11.96</v>
      </c>
      <c r="J252">
        <v>764.3</v>
      </c>
      <c r="K252">
        <v>15222.8</v>
      </c>
      <c r="L252">
        <v>1036.4000000000001</v>
      </c>
    </row>
    <row r="253" spans="1:12" x14ac:dyDescent="0.25">
      <c r="A253" t="str">
        <f t="shared" si="4"/>
        <v>300 x 8</v>
      </c>
      <c r="B253">
        <v>300</v>
      </c>
      <c r="C253">
        <v>8</v>
      </c>
      <c r="D253">
        <v>1.17</v>
      </c>
      <c r="E253">
        <v>91.79</v>
      </c>
      <c r="F253">
        <v>72.06</v>
      </c>
      <c r="G253">
        <v>12918.3</v>
      </c>
      <c r="H253">
        <v>861.2</v>
      </c>
      <c r="I253">
        <v>11.86</v>
      </c>
      <c r="J253">
        <v>999.1</v>
      </c>
      <c r="K253">
        <v>19859.900000000001</v>
      </c>
      <c r="L253">
        <v>1362.2</v>
      </c>
    </row>
    <row r="254" spans="1:12" x14ac:dyDescent="0.25">
      <c r="A254" t="str">
        <f t="shared" si="4"/>
        <v>300 x 10</v>
      </c>
      <c r="B254">
        <v>300</v>
      </c>
      <c r="C254">
        <v>10</v>
      </c>
      <c r="D254">
        <v>1.17</v>
      </c>
      <c r="E254">
        <v>113.42</v>
      </c>
      <c r="F254">
        <v>89.04</v>
      </c>
      <c r="G254">
        <v>15704.3</v>
      </c>
      <c r="H254">
        <v>1047</v>
      </c>
      <c r="I254">
        <v>11.77</v>
      </c>
      <c r="J254">
        <v>1224.0999999999999</v>
      </c>
      <c r="K254">
        <v>24277.1</v>
      </c>
      <c r="L254">
        <v>1678.1</v>
      </c>
    </row>
    <row r="255" spans="1:12" x14ac:dyDescent="0.25">
      <c r="A255" t="str">
        <f t="shared" si="4"/>
        <v>300 x 12</v>
      </c>
      <c r="B255">
        <v>300</v>
      </c>
      <c r="C255">
        <v>12</v>
      </c>
      <c r="D255">
        <v>1.1599999999999999</v>
      </c>
      <c r="E255">
        <v>134.53</v>
      </c>
      <c r="F255">
        <v>105.61</v>
      </c>
      <c r="G255">
        <v>18322</v>
      </c>
      <c r="H255">
        <v>1221.5</v>
      </c>
      <c r="I255">
        <v>11.67</v>
      </c>
      <c r="J255">
        <v>1439.5</v>
      </c>
      <c r="K255">
        <v>28473.5</v>
      </c>
      <c r="L255">
        <v>1984</v>
      </c>
    </row>
    <row r="256" spans="1:12" x14ac:dyDescent="0.25">
      <c r="A256" t="str">
        <f t="shared" si="4"/>
        <v>350 x 6</v>
      </c>
      <c r="B256">
        <v>350</v>
      </c>
      <c r="C256">
        <v>6</v>
      </c>
      <c r="D256">
        <v>1.38</v>
      </c>
      <c r="E256">
        <v>81.63</v>
      </c>
      <c r="F256">
        <v>64.08</v>
      </c>
      <c r="G256">
        <v>16001.9</v>
      </c>
      <c r="H256">
        <v>914.4</v>
      </c>
      <c r="I256">
        <v>14</v>
      </c>
      <c r="J256">
        <v>1049</v>
      </c>
      <c r="K256">
        <v>24395.8</v>
      </c>
      <c r="L256">
        <v>1419.2</v>
      </c>
    </row>
    <row r="257" spans="1:17" x14ac:dyDescent="0.25">
      <c r="A257" t="str">
        <f t="shared" si="4"/>
        <v>350 x 8</v>
      </c>
      <c r="B257">
        <v>350</v>
      </c>
      <c r="C257">
        <v>8</v>
      </c>
      <c r="D257">
        <v>1.37</v>
      </c>
      <c r="E257">
        <v>107.79</v>
      </c>
      <c r="F257">
        <v>84.62</v>
      </c>
      <c r="G257">
        <v>20840.2</v>
      </c>
      <c r="H257">
        <v>1190.9000000000001</v>
      </c>
      <c r="I257">
        <v>13.9</v>
      </c>
      <c r="J257">
        <v>1375.3</v>
      </c>
      <c r="K257">
        <v>31933.7</v>
      </c>
      <c r="L257">
        <v>1869.4</v>
      </c>
    </row>
    <row r="258" spans="1:17" x14ac:dyDescent="0.25">
      <c r="A258" t="str">
        <f t="shared" si="4"/>
        <v>350 x 10</v>
      </c>
      <c r="B258">
        <v>350</v>
      </c>
      <c r="C258">
        <v>10</v>
      </c>
      <c r="D258">
        <v>1.37</v>
      </c>
      <c r="E258">
        <v>133.41999999999999</v>
      </c>
      <c r="F258">
        <v>104.74</v>
      </c>
      <c r="G258">
        <v>25439.7</v>
      </c>
      <c r="H258">
        <v>1453.7</v>
      </c>
      <c r="I258">
        <v>13.81</v>
      </c>
      <c r="J258">
        <v>1690.1</v>
      </c>
      <c r="K258">
        <v>39172.699999999997</v>
      </c>
      <c r="L258">
        <v>2308.1</v>
      </c>
    </row>
    <row r="259" spans="1:17" x14ac:dyDescent="0.25">
      <c r="A259" t="str">
        <f t="shared" si="4"/>
        <v>350 x 12</v>
      </c>
      <c r="B259">
        <v>350</v>
      </c>
      <c r="C259">
        <v>12</v>
      </c>
      <c r="D259">
        <v>1.36</v>
      </c>
      <c r="E259">
        <v>158.53</v>
      </c>
      <c r="F259">
        <v>124.45</v>
      </c>
      <c r="G259">
        <v>29805.8</v>
      </c>
      <c r="H259">
        <v>1703.2</v>
      </c>
      <c r="I259">
        <v>13.71</v>
      </c>
      <c r="J259">
        <v>1993.6</v>
      </c>
      <c r="K259">
        <v>46112</v>
      </c>
      <c r="L259">
        <v>2735.2</v>
      </c>
    </row>
    <row r="260" spans="1:17" x14ac:dyDescent="0.25">
      <c r="A260" t="str">
        <f t="shared" si="4"/>
        <v>400 x 8</v>
      </c>
      <c r="B260">
        <v>400</v>
      </c>
      <c r="C260">
        <v>8</v>
      </c>
      <c r="D260">
        <v>1.57</v>
      </c>
      <c r="E260">
        <v>123.79</v>
      </c>
      <c r="F260">
        <v>97.18</v>
      </c>
      <c r="G260">
        <v>31476.9</v>
      </c>
      <c r="H260">
        <v>1573.8</v>
      </c>
      <c r="I260">
        <v>15.95</v>
      </c>
      <c r="J260">
        <v>1811.6</v>
      </c>
      <c r="K260">
        <v>48111.5</v>
      </c>
      <c r="L260">
        <v>2456.6</v>
      </c>
    </row>
    <row r="261" spans="1:17" x14ac:dyDescent="0.25">
      <c r="A261" t="str">
        <f t="shared" si="4"/>
        <v>400 x 10</v>
      </c>
      <c r="B261">
        <v>400</v>
      </c>
      <c r="C261">
        <v>10</v>
      </c>
      <c r="D261">
        <v>1.57</v>
      </c>
      <c r="E261">
        <v>153.41999999999999</v>
      </c>
      <c r="F261">
        <v>120.44</v>
      </c>
      <c r="G261">
        <v>38542.1</v>
      </c>
      <c r="H261">
        <v>1927.1</v>
      </c>
      <c r="I261">
        <v>15.85</v>
      </c>
      <c r="J261">
        <v>2231.1999999999998</v>
      </c>
      <c r="K261">
        <v>59168.4</v>
      </c>
      <c r="L261">
        <v>3038.1</v>
      </c>
    </row>
    <row r="262" spans="1:17" x14ac:dyDescent="0.25">
      <c r="A262" t="str">
        <f t="shared" si="4"/>
        <v>400 x 12</v>
      </c>
      <c r="B262">
        <v>400</v>
      </c>
      <c r="C262">
        <v>12</v>
      </c>
      <c r="D262">
        <v>1.56</v>
      </c>
      <c r="E262">
        <v>182.53</v>
      </c>
      <c r="F262">
        <v>143.29</v>
      </c>
      <c r="G262">
        <v>45298.1</v>
      </c>
      <c r="H262">
        <v>2264.9</v>
      </c>
      <c r="I262">
        <v>15.75</v>
      </c>
      <c r="J262">
        <v>2637.7</v>
      </c>
      <c r="K262">
        <v>69834.5</v>
      </c>
      <c r="L262">
        <v>3606.4</v>
      </c>
    </row>
    <row r="263" spans="1:17" x14ac:dyDescent="0.25">
      <c r="A263" t="str">
        <f t="shared" si="4"/>
        <v>400 x 14</v>
      </c>
      <c r="B263">
        <v>400</v>
      </c>
      <c r="C263">
        <v>14</v>
      </c>
      <c r="D263">
        <v>1.55</v>
      </c>
      <c r="E263">
        <v>211.11</v>
      </c>
      <c r="F263">
        <v>165.72</v>
      </c>
      <c r="G263">
        <v>51750.9</v>
      </c>
      <c r="H263">
        <v>2587.5</v>
      </c>
      <c r="I263">
        <v>15.66</v>
      </c>
      <c r="J263">
        <v>3031.3</v>
      </c>
      <c r="K263">
        <v>80108.7</v>
      </c>
      <c r="L263">
        <v>4161.3</v>
      </c>
    </row>
    <row r="266" spans="1:17" x14ac:dyDescent="0.25">
      <c r="B266" t="s">
        <v>133</v>
      </c>
      <c r="C266" t="s">
        <v>142</v>
      </c>
      <c r="D266" t="s">
        <v>98</v>
      </c>
      <c r="E266" t="s">
        <v>116</v>
      </c>
      <c r="F266" t="s">
        <v>10</v>
      </c>
      <c r="G266" t="s">
        <v>117</v>
      </c>
      <c r="H266" t="s">
        <v>143</v>
      </c>
      <c r="I266" t="s">
        <v>144</v>
      </c>
      <c r="J266" t="s">
        <v>145</v>
      </c>
      <c r="K266" t="s">
        <v>146</v>
      </c>
      <c r="L266" t="s">
        <v>147</v>
      </c>
      <c r="M266" t="s">
        <v>148</v>
      </c>
      <c r="N266" t="s">
        <v>149</v>
      </c>
      <c r="O266" t="s">
        <v>150</v>
      </c>
      <c r="P266" t="s">
        <v>27</v>
      </c>
      <c r="Q266" t="s">
        <v>80</v>
      </c>
    </row>
    <row r="267" spans="1:17" x14ac:dyDescent="0.25">
      <c r="B267" t="s">
        <v>121</v>
      </c>
      <c r="C267" t="s">
        <v>121</v>
      </c>
      <c r="D267" t="s">
        <v>121</v>
      </c>
      <c r="E267" t="s">
        <v>122</v>
      </c>
      <c r="F267" t="s">
        <v>138</v>
      </c>
      <c r="G267" t="s">
        <v>124</v>
      </c>
      <c r="H267" t="s">
        <v>125</v>
      </c>
      <c r="I267" t="s">
        <v>126</v>
      </c>
      <c r="J267" t="s">
        <v>127</v>
      </c>
      <c r="K267" t="s">
        <v>126</v>
      </c>
      <c r="L267" t="s">
        <v>125</v>
      </c>
      <c r="M267" t="s">
        <v>126</v>
      </c>
      <c r="N267" t="s">
        <v>127</v>
      </c>
      <c r="O267" t="s">
        <v>126</v>
      </c>
      <c r="P267" t="s">
        <v>125</v>
      </c>
      <c r="Q267" t="s">
        <v>126</v>
      </c>
    </row>
    <row r="269" spans="1:17" x14ac:dyDescent="0.25">
      <c r="A269" t="s">
        <v>151</v>
      </c>
      <c r="B269">
        <v>10</v>
      </c>
      <c r="C269">
        <v>20</v>
      </c>
      <c r="D269" s="26">
        <v>0.7</v>
      </c>
      <c r="E269" s="26">
        <v>5.8000000000000003E-2</v>
      </c>
      <c r="F269" s="26">
        <v>0.38800000000000001</v>
      </c>
      <c r="G269" s="26">
        <v>0.30399999999999999</v>
      </c>
      <c r="H269" s="26">
        <v>0.193</v>
      </c>
      <c r="I269" s="26">
        <v>0.193</v>
      </c>
      <c r="J269" s="26">
        <v>0.70599999999999996</v>
      </c>
      <c r="K269" s="26">
        <v>0.24399999999999999</v>
      </c>
      <c r="L269" s="26">
        <v>6.5000000000000002E-2</v>
      </c>
      <c r="M269" s="26">
        <v>0.13</v>
      </c>
      <c r="N269" s="26">
        <v>0.40899999999999997</v>
      </c>
      <c r="O269" s="26">
        <v>0.15</v>
      </c>
      <c r="P269" s="26">
        <v>0.156</v>
      </c>
      <c r="Q269" s="26">
        <v>0.25</v>
      </c>
    </row>
    <row r="270" spans="1:17" x14ac:dyDescent="0.25">
      <c r="A270" t="s">
        <v>152</v>
      </c>
      <c r="B270">
        <v>10</v>
      </c>
      <c r="C270">
        <v>20</v>
      </c>
      <c r="D270" s="26">
        <v>0.9</v>
      </c>
      <c r="E270" s="26">
        <v>5.7000000000000002E-2</v>
      </c>
      <c r="F270" s="26">
        <v>0.48699999999999999</v>
      </c>
      <c r="G270" s="26">
        <v>0.38200000000000001</v>
      </c>
      <c r="H270" s="26">
        <v>0.23400000000000001</v>
      </c>
      <c r="I270" s="26">
        <v>0.23400000000000001</v>
      </c>
      <c r="J270" s="26">
        <v>0.69399999999999995</v>
      </c>
      <c r="K270" s="26">
        <v>0.30099999999999999</v>
      </c>
      <c r="L270" s="26">
        <v>7.8E-2</v>
      </c>
      <c r="M270" s="26">
        <v>0.156</v>
      </c>
      <c r="N270" s="26">
        <v>0.4</v>
      </c>
      <c r="O270" s="26">
        <v>0.184</v>
      </c>
      <c r="P270" s="26">
        <v>0.189</v>
      </c>
      <c r="Q270" s="26">
        <v>0.31</v>
      </c>
    </row>
    <row r="271" spans="1:17" x14ac:dyDescent="0.25">
      <c r="A271" t="s">
        <v>153</v>
      </c>
      <c r="B271">
        <v>15</v>
      </c>
      <c r="C271">
        <v>25</v>
      </c>
      <c r="D271" s="26">
        <v>0.9</v>
      </c>
      <c r="E271" s="26">
        <v>7.6999999999999999E-2</v>
      </c>
      <c r="F271" s="26">
        <v>0.66700000000000004</v>
      </c>
      <c r="G271" s="26">
        <v>0.52300000000000002</v>
      </c>
      <c r="H271" s="26">
        <v>0.54700000000000004</v>
      </c>
      <c r="I271" s="26">
        <v>0.438</v>
      </c>
      <c r="J271" s="26">
        <v>0.90600000000000003</v>
      </c>
      <c r="K271" s="26">
        <v>0.54200000000000004</v>
      </c>
      <c r="L271" s="26">
        <v>0.247</v>
      </c>
      <c r="M271" s="26">
        <v>0.32900000000000001</v>
      </c>
      <c r="N271" s="26">
        <v>0.60899999999999999</v>
      </c>
      <c r="O271" s="26">
        <v>0.38100000000000001</v>
      </c>
      <c r="P271" s="26">
        <v>0.53900000000000003</v>
      </c>
      <c r="Q271" s="26">
        <v>0.60899999999999999</v>
      </c>
    </row>
    <row r="272" spans="1:17" x14ac:dyDescent="0.25">
      <c r="A272" t="s">
        <v>154</v>
      </c>
      <c r="B272">
        <v>15</v>
      </c>
      <c r="C272">
        <v>25</v>
      </c>
      <c r="D272" s="26">
        <v>1.25</v>
      </c>
      <c r="E272" s="26">
        <v>7.5999999999999998E-2</v>
      </c>
      <c r="F272" s="26">
        <v>0.89700000000000002</v>
      </c>
      <c r="G272" s="26">
        <v>0.70399999999999996</v>
      </c>
      <c r="H272" s="26">
        <v>0.70599999999999996</v>
      </c>
      <c r="I272" s="26">
        <v>0.56499999999999995</v>
      </c>
      <c r="J272" s="26">
        <v>0.88700000000000001</v>
      </c>
      <c r="K272" s="26">
        <v>0.71299999999999997</v>
      </c>
      <c r="L272" s="26">
        <v>0.315</v>
      </c>
      <c r="M272" s="26">
        <v>0.42</v>
      </c>
      <c r="N272" s="26">
        <v>0.59299999999999997</v>
      </c>
      <c r="O272" s="26">
        <v>0.499</v>
      </c>
      <c r="P272" s="26">
        <v>0.69799999999999995</v>
      </c>
      <c r="Q272" s="26">
        <v>0.80900000000000005</v>
      </c>
    </row>
    <row r="273" spans="1:17" x14ac:dyDescent="0.25">
      <c r="A273" t="s">
        <v>155</v>
      </c>
      <c r="B273">
        <v>20</v>
      </c>
      <c r="C273">
        <v>30</v>
      </c>
      <c r="D273" s="26">
        <v>0.9</v>
      </c>
      <c r="E273" s="26">
        <v>9.7000000000000003E-2</v>
      </c>
      <c r="F273" s="26">
        <v>0.84699999999999998</v>
      </c>
      <c r="G273" s="26">
        <v>0.66500000000000004</v>
      </c>
      <c r="H273" s="26">
        <v>1.052</v>
      </c>
      <c r="I273" s="26">
        <v>0.70099999999999996</v>
      </c>
      <c r="J273" s="26">
        <v>1.115</v>
      </c>
      <c r="K273" s="26">
        <v>0.85099999999999998</v>
      </c>
      <c r="L273" s="26">
        <v>0.56299999999999994</v>
      </c>
      <c r="M273" s="26">
        <v>0.56299999999999994</v>
      </c>
      <c r="N273" s="26">
        <v>0.81499999999999995</v>
      </c>
      <c r="O273" s="26">
        <v>0.64400000000000002</v>
      </c>
      <c r="P273" s="26">
        <v>1.147</v>
      </c>
      <c r="Q273" s="26">
        <v>0.998</v>
      </c>
    </row>
    <row r="274" spans="1:17" x14ac:dyDescent="0.25">
      <c r="A274" t="s">
        <v>156</v>
      </c>
      <c r="B274">
        <v>20</v>
      </c>
      <c r="C274">
        <v>30</v>
      </c>
      <c r="D274" s="26">
        <v>1.25</v>
      </c>
      <c r="E274" s="26">
        <v>9.6000000000000002E-2</v>
      </c>
      <c r="F274" s="26">
        <v>1.147</v>
      </c>
      <c r="G274" s="26">
        <v>0.90100000000000002</v>
      </c>
      <c r="H274" s="26">
        <v>1.3779999999999999</v>
      </c>
      <c r="I274" s="26">
        <v>0.91900000000000004</v>
      </c>
      <c r="J274" s="26">
        <v>1.0960000000000001</v>
      </c>
      <c r="K274" s="26">
        <v>1.1319999999999999</v>
      </c>
      <c r="L274" s="26">
        <v>0.73299999999999998</v>
      </c>
      <c r="M274" s="26">
        <v>0.73299999999999998</v>
      </c>
      <c r="N274" s="26">
        <v>0.79900000000000004</v>
      </c>
      <c r="O274" s="26">
        <v>0.85599999999999998</v>
      </c>
      <c r="P274" s="26">
        <v>1.512</v>
      </c>
      <c r="Q274" s="26">
        <v>1.34</v>
      </c>
    </row>
    <row r="275" spans="1:17" x14ac:dyDescent="0.25">
      <c r="A275" t="s">
        <v>157</v>
      </c>
      <c r="B275">
        <v>20</v>
      </c>
      <c r="C275">
        <v>30</v>
      </c>
      <c r="D275" s="26">
        <v>1.6</v>
      </c>
      <c r="E275" s="26">
        <v>9.5000000000000001E-2</v>
      </c>
      <c r="F275" s="26">
        <v>1.4319999999999999</v>
      </c>
      <c r="G275" s="26">
        <v>1.1240000000000001</v>
      </c>
      <c r="H275" s="26">
        <v>1.6619999999999999</v>
      </c>
      <c r="I275" s="26">
        <v>1.1080000000000001</v>
      </c>
      <c r="J275" s="26">
        <v>1.077</v>
      </c>
      <c r="K275" s="26">
        <v>1.3879999999999999</v>
      </c>
      <c r="L275" s="26">
        <v>0.878</v>
      </c>
      <c r="M275" s="26">
        <v>0.878</v>
      </c>
      <c r="N275" s="26">
        <v>0.78300000000000003</v>
      </c>
      <c r="O275" s="26">
        <v>1.046</v>
      </c>
      <c r="P275" s="26">
        <v>1.8320000000000001</v>
      </c>
      <c r="Q275" s="26">
        <v>1.6559999999999999</v>
      </c>
    </row>
    <row r="276" spans="1:17" x14ac:dyDescent="0.25">
      <c r="A276" t="s">
        <v>158</v>
      </c>
      <c r="B276">
        <v>20</v>
      </c>
      <c r="C276">
        <v>40</v>
      </c>
      <c r="D276" s="26">
        <v>0.9</v>
      </c>
      <c r="E276" s="26">
        <v>0.11700000000000001</v>
      </c>
      <c r="F276" s="26">
        <v>1.0269999999999999</v>
      </c>
      <c r="G276" s="26">
        <v>0.80600000000000005</v>
      </c>
      <c r="H276" s="26">
        <v>2.129</v>
      </c>
      <c r="I276" s="26">
        <v>1.0640000000000001</v>
      </c>
      <c r="J276" s="26">
        <v>1.44</v>
      </c>
      <c r="K276" s="26">
        <v>1.319</v>
      </c>
      <c r="L276" s="26">
        <v>0.72699999999999998</v>
      </c>
      <c r="M276" s="26">
        <v>0.72699999999999998</v>
      </c>
      <c r="N276" s="26">
        <v>0.84099999999999997</v>
      </c>
      <c r="O276" s="26">
        <v>0.81599999999999995</v>
      </c>
      <c r="P276" s="26">
        <v>1.718</v>
      </c>
      <c r="Q276" s="26">
        <v>1.341</v>
      </c>
    </row>
    <row r="277" spans="1:17" x14ac:dyDescent="0.25">
      <c r="A277" t="s">
        <v>159</v>
      </c>
      <c r="B277">
        <v>20</v>
      </c>
      <c r="C277">
        <v>40</v>
      </c>
      <c r="D277" s="26">
        <v>1.25</v>
      </c>
      <c r="E277" s="26">
        <v>0.11600000000000001</v>
      </c>
      <c r="F277" s="26">
        <v>1.397</v>
      </c>
      <c r="G277" s="26">
        <v>1.097</v>
      </c>
      <c r="H277" s="26">
        <v>2.8170000000000002</v>
      </c>
      <c r="I277" s="26">
        <v>1.4079999999999999</v>
      </c>
      <c r="J277" s="26">
        <v>1.42</v>
      </c>
      <c r="K277" s="26">
        <v>1.7689999999999999</v>
      </c>
      <c r="L277" s="26">
        <v>0.95299999999999996</v>
      </c>
      <c r="M277" s="26">
        <v>0.95299999999999996</v>
      </c>
      <c r="N277" s="26">
        <v>0.82599999999999996</v>
      </c>
      <c r="O277" s="26">
        <v>1.0900000000000001</v>
      </c>
      <c r="P277" s="26">
        <v>2.2759999999999998</v>
      </c>
      <c r="Q277" s="26">
        <v>1.8089999999999999</v>
      </c>
    </row>
    <row r="278" spans="1:17" x14ac:dyDescent="0.25">
      <c r="A278" t="s">
        <v>160</v>
      </c>
      <c r="B278">
        <v>20</v>
      </c>
      <c r="C278">
        <v>40</v>
      </c>
      <c r="D278" s="26">
        <v>1.6</v>
      </c>
      <c r="E278" s="26">
        <v>0.115</v>
      </c>
      <c r="F278" s="26">
        <v>1.752</v>
      </c>
      <c r="G278" s="26">
        <v>1.375</v>
      </c>
      <c r="H278" s="26">
        <v>3.431</v>
      </c>
      <c r="I278" s="26">
        <v>1.716</v>
      </c>
      <c r="J278" s="26">
        <v>1.4</v>
      </c>
      <c r="K278" s="26">
        <v>2.1829999999999998</v>
      </c>
      <c r="L278" s="26">
        <v>1.149</v>
      </c>
      <c r="M278" s="26">
        <v>1.149</v>
      </c>
      <c r="N278" s="26">
        <v>0.81</v>
      </c>
      <c r="O278" s="26">
        <v>1.341</v>
      </c>
      <c r="P278" s="26">
        <v>2.7730000000000001</v>
      </c>
      <c r="Q278" s="26">
        <v>2.2450000000000001</v>
      </c>
    </row>
    <row r="279" spans="1:17" x14ac:dyDescent="0.25">
      <c r="A279" t="s">
        <v>161</v>
      </c>
      <c r="B279">
        <v>30</v>
      </c>
      <c r="C279">
        <v>40</v>
      </c>
      <c r="D279" s="26">
        <v>1.25</v>
      </c>
      <c r="E279" s="26">
        <v>0.13600000000000001</v>
      </c>
      <c r="F279" s="26">
        <v>1.647</v>
      </c>
      <c r="G279" s="26">
        <v>1.2929999999999999</v>
      </c>
      <c r="H279" s="26">
        <v>3.7549999999999999</v>
      </c>
      <c r="I279" s="26">
        <v>1.8779999999999999</v>
      </c>
      <c r="J279" s="26">
        <v>1.51</v>
      </c>
      <c r="K279" s="26">
        <v>2.2530000000000001</v>
      </c>
      <c r="L279" s="26">
        <v>2.4119999999999999</v>
      </c>
      <c r="M279" s="26">
        <v>1.6080000000000001</v>
      </c>
      <c r="N279" s="26">
        <v>1.21</v>
      </c>
      <c r="O279" s="26">
        <v>1.851</v>
      </c>
      <c r="P279" s="26">
        <v>4.5720000000000001</v>
      </c>
      <c r="Q279" s="26">
        <v>2.778</v>
      </c>
    </row>
    <row r="280" spans="1:17" x14ac:dyDescent="0.25">
      <c r="A280" t="s">
        <v>162</v>
      </c>
      <c r="B280">
        <v>30</v>
      </c>
      <c r="C280">
        <v>40</v>
      </c>
      <c r="D280" s="26">
        <v>1.6</v>
      </c>
      <c r="E280" s="26">
        <v>0.13500000000000001</v>
      </c>
      <c r="F280" s="26">
        <v>2.0720000000000001</v>
      </c>
      <c r="G280" s="26">
        <v>1.6259999999999999</v>
      </c>
      <c r="H280" s="26">
        <v>4.6109999999999998</v>
      </c>
      <c r="I280" s="26">
        <v>2.306</v>
      </c>
      <c r="J280" s="26">
        <v>1.492</v>
      </c>
      <c r="K280" s="26">
        <v>2.798</v>
      </c>
      <c r="L280" s="26">
        <v>2.952</v>
      </c>
      <c r="M280" s="26">
        <v>1.968</v>
      </c>
      <c r="N280" s="26">
        <v>1.194</v>
      </c>
      <c r="O280" s="26">
        <v>2.2959999999999998</v>
      </c>
      <c r="P280" s="26">
        <v>5.6459999999999999</v>
      </c>
      <c r="Q280" s="26">
        <v>3.4740000000000002</v>
      </c>
    </row>
    <row r="281" spans="1:17" x14ac:dyDescent="0.25">
      <c r="A281" t="s">
        <v>163</v>
      </c>
      <c r="B281">
        <v>30</v>
      </c>
      <c r="C281">
        <v>40</v>
      </c>
      <c r="D281" s="26">
        <v>2</v>
      </c>
      <c r="E281" s="26">
        <v>0.13300000000000001</v>
      </c>
      <c r="F281" s="26">
        <v>2.5369999999999999</v>
      </c>
      <c r="G281" s="26">
        <v>1.992</v>
      </c>
      <c r="H281" s="26">
        <v>5.4909999999999997</v>
      </c>
      <c r="I281" s="26">
        <v>2.746</v>
      </c>
      <c r="J281" s="26">
        <v>1.4710000000000001</v>
      </c>
      <c r="K281" s="26">
        <v>3.3759999999999999</v>
      </c>
      <c r="L281" s="26">
        <v>3.504</v>
      </c>
      <c r="M281" s="26">
        <v>2.3359999999999999</v>
      </c>
      <c r="N281" s="26">
        <v>1.175</v>
      </c>
      <c r="O281" s="26">
        <v>2.7679999999999998</v>
      </c>
      <c r="P281" s="26">
        <v>6.7619999999999996</v>
      </c>
      <c r="Q281" s="26">
        <v>4.2249999999999996</v>
      </c>
    </row>
    <row r="282" spans="1:17" x14ac:dyDescent="0.25">
      <c r="A282" t="s">
        <v>164</v>
      </c>
      <c r="B282">
        <v>30</v>
      </c>
      <c r="C282">
        <v>50</v>
      </c>
      <c r="D282" s="26">
        <v>1.25</v>
      </c>
      <c r="E282" s="26">
        <v>0.156</v>
      </c>
      <c r="F282" s="26">
        <v>1.897</v>
      </c>
      <c r="G282" s="26">
        <v>1.4890000000000001</v>
      </c>
      <c r="H282" s="26">
        <v>6.4390000000000001</v>
      </c>
      <c r="I282" s="26">
        <v>2.5760000000000001</v>
      </c>
      <c r="J282" s="26">
        <v>1.8420000000000001</v>
      </c>
      <c r="K282" s="26">
        <v>3.1389999999999998</v>
      </c>
      <c r="L282" s="26">
        <v>2.9279999999999999</v>
      </c>
      <c r="M282" s="26">
        <v>1.952</v>
      </c>
      <c r="N282" s="26">
        <v>1.242</v>
      </c>
      <c r="O282" s="26">
        <v>2.2109999999999999</v>
      </c>
      <c r="P282" s="26">
        <v>6.3090000000000002</v>
      </c>
      <c r="Q282" s="26">
        <v>3.496</v>
      </c>
    </row>
    <row r="283" spans="1:17" x14ac:dyDescent="0.25">
      <c r="A283" t="s">
        <v>165</v>
      </c>
      <c r="B283">
        <v>30</v>
      </c>
      <c r="C283">
        <v>50</v>
      </c>
      <c r="D283" s="26">
        <v>1.6</v>
      </c>
      <c r="E283" s="26">
        <v>0.155</v>
      </c>
      <c r="F283" s="26">
        <v>2.3919999999999999</v>
      </c>
      <c r="G283" s="26">
        <v>1.877</v>
      </c>
      <c r="H283" s="26">
        <v>7.95</v>
      </c>
      <c r="I283" s="26">
        <v>3.18</v>
      </c>
      <c r="J283" s="26">
        <v>1.823</v>
      </c>
      <c r="K283" s="26">
        <v>3.9140000000000001</v>
      </c>
      <c r="L283" s="26">
        <v>3.5979999999999999</v>
      </c>
      <c r="M283" s="26">
        <v>2.3980000000000001</v>
      </c>
      <c r="N283" s="26">
        <v>1.226</v>
      </c>
      <c r="O283" s="26">
        <v>2.7509999999999999</v>
      </c>
      <c r="P283" s="26">
        <v>7.8159999999999998</v>
      </c>
      <c r="Q283" s="26">
        <v>4.383</v>
      </c>
    </row>
    <row r="284" spans="1:17" x14ac:dyDescent="0.25">
      <c r="A284" t="s">
        <v>166</v>
      </c>
      <c r="B284">
        <v>30</v>
      </c>
      <c r="C284">
        <v>50</v>
      </c>
      <c r="D284" s="26">
        <v>2</v>
      </c>
      <c r="E284" s="26">
        <v>0.153</v>
      </c>
      <c r="F284" s="26">
        <v>2.9369999999999998</v>
      </c>
      <c r="G284" s="26">
        <v>2.306</v>
      </c>
      <c r="H284" s="26">
        <v>9.5289999999999999</v>
      </c>
      <c r="I284" s="26">
        <v>3.8119999999999998</v>
      </c>
      <c r="J284" s="26">
        <v>1.8009999999999999</v>
      </c>
      <c r="K284" s="26">
        <v>4.7439999999999998</v>
      </c>
      <c r="L284" s="26">
        <v>4.2880000000000003</v>
      </c>
      <c r="M284" s="26">
        <v>2.859</v>
      </c>
      <c r="N284" s="26">
        <v>1.208</v>
      </c>
      <c r="O284" s="26">
        <v>3.3279999999999998</v>
      </c>
      <c r="P284" s="26">
        <v>9.3979999999999997</v>
      </c>
      <c r="Q284" s="26">
        <v>5.3449999999999998</v>
      </c>
    </row>
    <row r="285" spans="1:17" x14ac:dyDescent="0.25">
      <c r="A285" t="s">
        <v>167</v>
      </c>
      <c r="B285">
        <v>30</v>
      </c>
      <c r="C285">
        <v>50</v>
      </c>
      <c r="D285" s="26">
        <v>2.5</v>
      </c>
      <c r="E285" s="26">
        <v>0.151</v>
      </c>
      <c r="F285" s="26">
        <v>3.589</v>
      </c>
      <c r="G285" s="26">
        <v>2.8170000000000002</v>
      </c>
      <c r="H285" s="26">
        <v>11.291</v>
      </c>
      <c r="I285" s="26">
        <v>4.516</v>
      </c>
      <c r="J285" s="26">
        <v>1.774</v>
      </c>
      <c r="K285" s="26">
        <v>5.7030000000000003</v>
      </c>
      <c r="L285" s="26">
        <v>5.0449999999999999</v>
      </c>
      <c r="M285" s="26">
        <v>3.363</v>
      </c>
      <c r="N285" s="26">
        <v>1.1859999999999999</v>
      </c>
      <c r="O285" s="26">
        <v>3.9889999999999999</v>
      </c>
      <c r="P285" s="26">
        <v>11.166</v>
      </c>
      <c r="Q285" s="26">
        <v>6.4710000000000001</v>
      </c>
    </row>
    <row r="286" spans="1:17" x14ac:dyDescent="0.25">
      <c r="A286" t="s">
        <v>168</v>
      </c>
      <c r="B286">
        <v>30</v>
      </c>
      <c r="C286">
        <v>60</v>
      </c>
      <c r="D286" s="26">
        <v>1.6</v>
      </c>
      <c r="E286" s="26">
        <v>0.17499999999999999</v>
      </c>
      <c r="F286" s="26">
        <v>2.7120000000000002</v>
      </c>
      <c r="G286" s="26">
        <v>2.129</v>
      </c>
      <c r="H286" s="26">
        <v>12.484</v>
      </c>
      <c r="I286" s="26">
        <v>4.1609999999999996</v>
      </c>
      <c r="J286" s="26">
        <v>2.1459999999999999</v>
      </c>
      <c r="K286" s="26">
        <v>5.1890000000000001</v>
      </c>
      <c r="L286" s="26">
        <v>4.2430000000000003</v>
      </c>
      <c r="M286" s="26">
        <v>2.8290000000000002</v>
      </c>
      <c r="N286" s="26">
        <v>1.2509999999999999</v>
      </c>
      <c r="O286" s="26">
        <v>3.2050000000000001</v>
      </c>
      <c r="P286" s="26">
        <v>10.081</v>
      </c>
      <c r="Q286" s="26">
        <v>5.2919999999999998</v>
      </c>
    </row>
    <row r="287" spans="1:17" x14ac:dyDescent="0.25">
      <c r="A287" t="s">
        <v>169</v>
      </c>
      <c r="B287">
        <v>30</v>
      </c>
      <c r="C287">
        <v>60</v>
      </c>
      <c r="D287" s="26">
        <v>2</v>
      </c>
      <c r="E287" s="26">
        <v>0.17299999999999999</v>
      </c>
      <c r="F287" s="26">
        <v>3.3370000000000002</v>
      </c>
      <c r="G287" s="26">
        <v>2.62</v>
      </c>
      <c r="H287" s="26">
        <v>15.035</v>
      </c>
      <c r="I287" s="26">
        <v>5.0119999999999996</v>
      </c>
      <c r="J287" s="26">
        <v>2.1230000000000002</v>
      </c>
      <c r="K287" s="26">
        <v>6.3129999999999997</v>
      </c>
      <c r="L287" s="26">
        <v>5.0720000000000001</v>
      </c>
      <c r="M287" s="26">
        <v>3.3809999999999998</v>
      </c>
      <c r="N287" s="26">
        <v>1.2330000000000001</v>
      </c>
      <c r="O287" s="26">
        <v>3.8879999999999999</v>
      </c>
      <c r="P287" s="26">
        <v>12.15</v>
      </c>
      <c r="Q287" s="26">
        <v>6.4649999999999999</v>
      </c>
    </row>
    <row r="288" spans="1:17" x14ac:dyDescent="0.25">
      <c r="A288" t="s">
        <v>170</v>
      </c>
      <c r="B288">
        <v>30</v>
      </c>
      <c r="C288">
        <v>60</v>
      </c>
      <c r="D288" s="26">
        <v>2.5</v>
      </c>
      <c r="E288" s="26">
        <v>0.17100000000000001</v>
      </c>
      <c r="F288" s="26">
        <v>4.0890000000000004</v>
      </c>
      <c r="G288" s="26">
        <v>3.21</v>
      </c>
      <c r="H288" s="26">
        <v>17.922999999999998</v>
      </c>
      <c r="I288" s="26">
        <v>5.9740000000000002</v>
      </c>
      <c r="J288" s="26">
        <v>2.0939999999999999</v>
      </c>
      <c r="K288" s="26">
        <v>7.6219999999999999</v>
      </c>
      <c r="L288" s="26">
        <v>5.99</v>
      </c>
      <c r="M288" s="26">
        <v>3.9929999999999999</v>
      </c>
      <c r="N288" s="26">
        <v>1.21</v>
      </c>
      <c r="O288" s="26">
        <v>4.6769999999999996</v>
      </c>
      <c r="P288" s="26">
        <v>14.484</v>
      </c>
      <c r="Q288" s="26">
        <v>7.8460000000000001</v>
      </c>
    </row>
    <row r="289" spans="1:17" x14ac:dyDescent="0.25">
      <c r="A289" t="s">
        <v>171</v>
      </c>
      <c r="B289">
        <v>30</v>
      </c>
      <c r="C289">
        <v>70</v>
      </c>
      <c r="D289" s="26">
        <v>1.6</v>
      </c>
      <c r="E289" s="26">
        <v>0.19500000000000001</v>
      </c>
      <c r="F289" s="26">
        <v>3.032</v>
      </c>
      <c r="G289" s="26">
        <v>2.38</v>
      </c>
      <c r="H289" s="26">
        <v>18.373000000000001</v>
      </c>
      <c r="I289" s="26">
        <v>5.2489999999999997</v>
      </c>
      <c r="J289" s="26">
        <v>2.4620000000000002</v>
      </c>
      <c r="K289" s="26">
        <v>6.625</v>
      </c>
      <c r="L289" s="26">
        <v>4.8879999999999999</v>
      </c>
      <c r="M289" s="26">
        <v>3.2589999999999999</v>
      </c>
      <c r="N289" s="26">
        <v>1.27</v>
      </c>
      <c r="O289" s="26">
        <v>3.66</v>
      </c>
      <c r="P289" s="26">
        <v>12.411</v>
      </c>
      <c r="Q289" s="26">
        <v>6.2</v>
      </c>
    </row>
    <row r="290" spans="1:17" x14ac:dyDescent="0.25">
      <c r="A290" t="s">
        <v>172</v>
      </c>
      <c r="B290">
        <v>30</v>
      </c>
      <c r="C290">
        <v>70</v>
      </c>
      <c r="D290" s="26">
        <v>2</v>
      </c>
      <c r="E290" s="26">
        <v>0.193</v>
      </c>
      <c r="F290" s="26">
        <v>3.7370000000000001</v>
      </c>
      <c r="G290" s="26">
        <v>2.9340000000000002</v>
      </c>
      <c r="H290" s="26">
        <v>22.207999999999998</v>
      </c>
      <c r="I290" s="26">
        <v>6.3449999999999998</v>
      </c>
      <c r="J290" s="26">
        <v>2.4380000000000002</v>
      </c>
      <c r="K290" s="26">
        <v>8.0809999999999995</v>
      </c>
      <c r="L290" s="26">
        <v>5.8559999999999999</v>
      </c>
      <c r="M290" s="26">
        <v>3.9039999999999999</v>
      </c>
      <c r="N290" s="26">
        <v>1.252</v>
      </c>
      <c r="O290" s="26">
        <v>4.4480000000000004</v>
      </c>
      <c r="P290" s="26">
        <v>14.983000000000001</v>
      </c>
      <c r="Q290" s="26">
        <v>7.585</v>
      </c>
    </row>
    <row r="291" spans="1:17" x14ac:dyDescent="0.25">
      <c r="A291" t="s">
        <v>173</v>
      </c>
      <c r="B291">
        <v>30</v>
      </c>
      <c r="C291">
        <v>70</v>
      </c>
      <c r="D291" s="26">
        <v>2.5</v>
      </c>
      <c r="E291" s="26">
        <v>0.191</v>
      </c>
      <c r="F291" s="26">
        <v>4.5890000000000004</v>
      </c>
      <c r="G291" s="26">
        <v>3.6019999999999999</v>
      </c>
      <c r="H291" s="26">
        <v>26.597000000000001</v>
      </c>
      <c r="I291" s="26">
        <v>7.5990000000000002</v>
      </c>
      <c r="J291" s="26">
        <v>2.407</v>
      </c>
      <c r="K291" s="26">
        <v>9.7919999999999998</v>
      </c>
      <c r="L291" s="26">
        <v>6.9349999999999996</v>
      </c>
      <c r="M291" s="26">
        <v>4.6239999999999997</v>
      </c>
      <c r="N291" s="26">
        <v>1.2290000000000001</v>
      </c>
      <c r="O291" s="26">
        <v>5.3639999999999999</v>
      </c>
      <c r="P291" s="26">
        <v>17.899999999999999</v>
      </c>
      <c r="Q291" s="26">
        <v>9.2210000000000001</v>
      </c>
    </row>
    <row r="292" spans="1:17" x14ac:dyDescent="0.25">
      <c r="A292" t="s">
        <v>174</v>
      </c>
      <c r="B292">
        <v>40</v>
      </c>
      <c r="C292">
        <v>50</v>
      </c>
      <c r="D292" s="26">
        <v>1.6</v>
      </c>
      <c r="E292" s="26">
        <v>0.17499999999999999</v>
      </c>
      <c r="F292" s="26">
        <v>2.7120000000000002</v>
      </c>
      <c r="G292" s="26">
        <v>2.129</v>
      </c>
      <c r="H292" s="26">
        <v>9.8239999999999998</v>
      </c>
      <c r="I292" s="26">
        <v>3.93</v>
      </c>
      <c r="J292" s="26">
        <v>1.903</v>
      </c>
      <c r="K292" s="26">
        <v>4.6879999999999997</v>
      </c>
      <c r="L292" s="26">
        <v>6.97</v>
      </c>
      <c r="M292" s="26">
        <v>3.4849999999999999</v>
      </c>
      <c r="N292" s="26">
        <v>1.603</v>
      </c>
      <c r="O292" s="26">
        <v>4.0270000000000001</v>
      </c>
      <c r="P292" s="26">
        <v>12.667</v>
      </c>
      <c r="Q292" s="26">
        <v>5.9320000000000004</v>
      </c>
    </row>
    <row r="293" spans="1:17" x14ac:dyDescent="0.25">
      <c r="A293" t="s">
        <v>175</v>
      </c>
      <c r="B293">
        <v>40</v>
      </c>
      <c r="C293">
        <v>50</v>
      </c>
      <c r="D293" s="26">
        <v>2</v>
      </c>
      <c r="E293" s="26">
        <v>0.17299999999999999</v>
      </c>
      <c r="F293" s="26">
        <v>3.3370000000000002</v>
      </c>
      <c r="G293" s="26">
        <v>2.62</v>
      </c>
      <c r="H293" s="26">
        <v>11.833</v>
      </c>
      <c r="I293" s="26">
        <v>4.7329999999999997</v>
      </c>
      <c r="J293" s="26">
        <v>1.883</v>
      </c>
      <c r="K293" s="26">
        <v>5.7039999999999997</v>
      </c>
      <c r="L293" s="26">
        <v>8.3789999999999996</v>
      </c>
      <c r="M293" s="26">
        <v>4.1900000000000004</v>
      </c>
      <c r="N293" s="26">
        <v>1.585</v>
      </c>
      <c r="O293" s="26">
        <v>4.8959999999999999</v>
      </c>
      <c r="P293" s="26">
        <v>15.343</v>
      </c>
      <c r="Q293" s="26">
        <v>7.2649999999999997</v>
      </c>
    </row>
    <row r="294" spans="1:17" x14ac:dyDescent="0.25">
      <c r="A294" t="s">
        <v>176</v>
      </c>
      <c r="B294">
        <v>40</v>
      </c>
      <c r="C294">
        <v>50</v>
      </c>
      <c r="D294" s="26">
        <v>2.5</v>
      </c>
      <c r="E294" s="26">
        <v>0.17100000000000001</v>
      </c>
      <c r="F294" s="26">
        <v>4.0890000000000004</v>
      </c>
      <c r="G294" s="26">
        <v>3.21</v>
      </c>
      <c r="H294" s="26">
        <v>14.111000000000001</v>
      </c>
      <c r="I294" s="26">
        <v>5.6440000000000001</v>
      </c>
      <c r="J294" s="26">
        <v>1.8580000000000001</v>
      </c>
      <c r="K294" s="26">
        <v>6.89</v>
      </c>
      <c r="L294" s="26">
        <v>9.9670000000000005</v>
      </c>
      <c r="M294" s="26">
        <v>4.9829999999999997</v>
      </c>
      <c r="N294" s="26">
        <v>1.5609999999999999</v>
      </c>
      <c r="O294" s="26">
        <v>5.9089999999999998</v>
      </c>
      <c r="P294" s="26">
        <v>18.411999999999999</v>
      </c>
      <c r="Q294" s="26">
        <v>8.8460000000000001</v>
      </c>
    </row>
    <row r="295" spans="1:17" x14ac:dyDescent="0.25">
      <c r="A295" t="s">
        <v>177</v>
      </c>
      <c r="B295">
        <v>40</v>
      </c>
      <c r="C295">
        <v>60</v>
      </c>
      <c r="D295" s="26">
        <v>1.6</v>
      </c>
      <c r="E295" s="26">
        <v>0.19500000000000001</v>
      </c>
      <c r="F295" s="26">
        <v>3.032</v>
      </c>
      <c r="G295" s="26">
        <v>2.38</v>
      </c>
      <c r="H295" s="26">
        <v>15.212</v>
      </c>
      <c r="I295" s="26">
        <v>5.0709999999999997</v>
      </c>
      <c r="J295" s="26">
        <v>2.2400000000000002</v>
      </c>
      <c r="K295" s="26">
        <v>6.1239999999999997</v>
      </c>
      <c r="L295" s="26">
        <v>8.15</v>
      </c>
      <c r="M295" s="26">
        <v>4.0750000000000002</v>
      </c>
      <c r="N295" s="26">
        <v>1.64</v>
      </c>
      <c r="O295" s="26">
        <v>4.641</v>
      </c>
      <c r="P295" s="26">
        <v>16.552</v>
      </c>
      <c r="Q295" s="26">
        <v>7.16</v>
      </c>
    </row>
    <row r="296" spans="1:17" x14ac:dyDescent="0.25">
      <c r="A296" t="s">
        <v>178</v>
      </c>
      <c r="B296">
        <v>40</v>
      </c>
      <c r="C296">
        <v>60</v>
      </c>
      <c r="D296" s="26">
        <v>2</v>
      </c>
      <c r="E296" s="26">
        <v>0.193</v>
      </c>
      <c r="F296" s="26">
        <v>3.7370000000000001</v>
      </c>
      <c r="G296" s="26">
        <v>2.9340000000000002</v>
      </c>
      <c r="H296" s="26">
        <v>18.399000000000001</v>
      </c>
      <c r="I296" s="26">
        <v>6.133</v>
      </c>
      <c r="J296" s="26">
        <v>2.2189999999999999</v>
      </c>
      <c r="K296" s="26">
        <v>7.4729999999999999</v>
      </c>
      <c r="L296" s="26">
        <v>9.8230000000000004</v>
      </c>
      <c r="M296" s="26">
        <v>4.9119999999999999</v>
      </c>
      <c r="N296" s="26">
        <v>1.621</v>
      </c>
      <c r="O296" s="26">
        <v>5.6559999999999997</v>
      </c>
      <c r="P296" s="26">
        <v>20.097999999999999</v>
      </c>
      <c r="Q296" s="26">
        <v>8.7850000000000001</v>
      </c>
    </row>
    <row r="297" spans="1:17" x14ac:dyDescent="0.25">
      <c r="A297" t="s">
        <v>179</v>
      </c>
      <c r="B297">
        <v>40</v>
      </c>
      <c r="C297">
        <v>60</v>
      </c>
      <c r="D297" s="26">
        <v>2.5</v>
      </c>
      <c r="E297" s="26">
        <v>0.191</v>
      </c>
      <c r="F297" s="26">
        <v>4.5890000000000004</v>
      </c>
      <c r="G297" s="26">
        <v>3.6019999999999999</v>
      </c>
      <c r="H297" s="26">
        <v>22.055</v>
      </c>
      <c r="I297" s="26">
        <v>7.3520000000000003</v>
      </c>
      <c r="J297" s="26">
        <v>2.1920000000000002</v>
      </c>
      <c r="K297" s="26">
        <v>9.06</v>
      </c>
      <c r="L297" s="26">
        <v>11.725</v>
      </c>
      <c r="M297" s="26">
        <v>5.8620000000000001</v>
      </c>
      <c r="N297" s="26">
        <v>1.5980000000000001</v>
      </c>
      <c r="O297" s="26">
        <v>6.8460000000000001</v>
      </c>
      <c r="P297" s="26">
        <v>24.196999999999999</v>
      </c>
      <c r="Q297" s="26">
        <v>10.721</v>
      </c>
    </row>
    <row r="298" spans="1:17" x14ac:dyDescent="0.25">
      <c r="A298" t="s">
        <v>180</v>
      </c>
      <c r="B298">
        <v>40</v>
      </c>
      <c r="C298">
        <v>60</v>
      </c>
      <c r="D298" s="26">
        <v>3.2</v>
      </c>
      <c r="E298" s="26">
        <v>0.189</v>
      </c>
      <c r="F298" s="26">
        <v>5.7270000000000003</v>
      </c>
      <c r="G298" s="26">
        <v>4.4950000000000001</v>
      </c>
      <c r="H298" s="26">
        <v>26.588999999999999</v>
      </c>
      <c r="I298" s="26">
        <v>8.8629999999999995</v>
      </c>
      <c r="J298" s="26">
        <v>2.1549999999999998</v>
      </c>
      <c r="K298" s="26">
        <v>11.1</v>
      </c>
      <c r="L298" s="26">
        <v>14.05</v>
      </c>
      <c r="M298" s="26">
        <v>7.0250000000000004</v>
      </c>
      <c r="N298" s="26">
        <v>1.5660000000000001</v>
      </c>
      <c r="O298" s="26">
        <v>8.3689999999999998</v>
      </c>
      <c r="P298" s="26">
        <v>29.311</v>
      </c>
      <c r="Q298" s="26">
        <v>13.250999999999999</v>
      </c>
    </row>
    <row r="299" spans="1:17" x14ac:dyDescent="0.25">
      <c r="A299" t="s">
        <v>181</v>
      </c>
      <c r="B299">
        <v>40</v>
      </c>
      <c r="C299">
        <v>80</v>
      </c>
      <c r="D299" s="26">
        <v>1.6</v>
      </c>
      <c r="E299" s="26">
        <v>0.23499999999999999</v>
      </c>
      <c r="F299" s="26">
        <v>3.6720000000000002</v>
      </c>
      <c r="G299" s="26">
        <v>2.8820000000000001</v>
      </c>
      <c r="H299" s="26">
        <v>30.693999999999999</v>
      </c>
      <c r="I299" s="26">
        <v>7.6740000000000004</v>
      </c>
      <c r="J299" s="26">
        <v>2.891</v>
      </c>
      <c r="K299" s="26">
        <v>9.4749999999999996</v>
      </c>
      <c r="L299" s="26">
        <v>10.509</v>
      </c>
      <c r="M299" s="26">
        <v>5.2549999999999999</v>
      </c>
      <c r="N299" s="26">
        <v>1.6919999999999999</v>
      </c>
      <c r="O299" s="26">
        <v>5.87</v>
      </c>
      <c r="P299" s="26">
        <v>24.75</v>
      </c>
      <c r="Q299" s="26">
        <v>9.6180000000000003</v>
      </c>
    </row>
    <row r="300" spans="1:17" x14ac:dyDescent="0.25">
      <c r="A300" t="s">
        <v>182</v>
      </c>
      <c r="B300">
        <v>40</v>
      </c>
      <c r="C300">
        <v>80</v>
      </c>
      <c r="D300" s="26">
        <v>2</v>
      </c>
      <c r="E300" s="26">
        <v>0.23300000000000001</v>
      </c>
      <c r="F300" s="26">
        <v>4.5369999999999999</v>
      </c>
      <c r="G300" s="26">
        <v>3.5619999999999998</v>
      </c>
      <c r="H300" s="26">
        <v>37.331000000000003</v>
      </c>
      <c r="I300" s="26">
        <v>9.3330000000000002</v>
      </c>
      <c r="J300" s="26">
        <v>2.8679999999999999</v>
      </c>
      <c r="K300" s="26">
        <v>11.61</v>
      </c>
      <c r="L300" s="26">
        <v>12.711</v>
      </c>
      <c r="M300" s="26">
        <v>6.3559999999999999</v>
      </c>
      <c r="N300" s="26">
        <v>1.6739999999999999</v>
      </c>
      <c r="O300" s="26">
        <v>7.1760000000000002</v>
      </c>
      <c r="P300" s="26">
        <v>30.135999999999999</v>
      </c>
      <c r="Q300" s="26">
        <v>11.824999999999999</v>
      </c>
    </row>
    <row r="301" spans="1:17" x14ac:dyDescent="0.25">
      <c r="A301" t="s">
        <v>183</v>
      </c>
      <c r="B301">
        <v>40</v>
      </c>
      <c r="C301">
        <v>80</v>
      </c>
      <c r="D301" s="26">
        <v>2.5</v>
      </c>
      <c r="E301" s="26">
        <v>0.23100000000000001</v>
      </c>
      <c r="F301" s="26">
        <v>5.5890000000000004</v>
      </c>
      <c r="G301" s="26">
        <v>4.3869999999999996</v>
      </c>
      <c r="H301" s="26">
        <v>45.072000000000003</v>
      </c>
      <c r="I301" s="26">
        <v>11.268000000000001</v>
      </c>
      <c r="J301" s="26">
        <v>2.84</v>
      </c>
      <c r="K301" s="26">
        <v>14.148999999999999</v>
      </c>
      <c r="L301" s="26">
        <v>15.24</v>
      </c>
      <c r="M301" s="26">
        <v>7.62</v>
      </c>
      <c r="N301" s="26">
        <v>1.651</v>
      </c>
      <c r="O301" s="26">
        <v>8.7210000000000001</v>
      </c>
      <c r="P301" s="26">
        <v>36.417999999999999</v>
      </c>
      <c r="Q301" s="26">
        <v>14.471</v>
      </c>
    </row>
    <row r="302" spans="1:17" x14ac:dyDescent="0.25">
      <c r="A302" t="s">
        <v>184</v>
      </c>
      <c r="B302">
        <v>40</v>
      </c>
      <c r="C302">
        <v>80</v>
      </c>
      <c r="D302" s="26">
        <v>3.2</v>
      </c>
      <c r="E302" s="26">
        <v>0.22900000000000001</v>
      </c>
      <c r="F302" s="26">
        <v>7.0069999999999997</v>
      </c>
      <c r="G302" s="26">
        <v>5.5</v>
      </c>
      <c r="H302" s="26">
        <v>54.902000000000001</v>
      </c>
      <c r="I302" s="26">
        <v>13.725</v>
      </c>
      <c r="J302" s="26">
        <v>2.7989999999999999</v>
      </c>
      <c r="K302" s="26">
        <v>17.466999999999999</v>
      </c>
      <c r="L302" s="26">
        <v>18.384</v>
      </c>
      <c r="M302" s="26">
        <v>9.1920000000000002</v>
      </c>
      <c r="N302" s="26">
        <v>1.62</v>
      </c>
      <c r="O302" s="26">
        <v>10.725</v>
      </c>
      <c r="P302" s="26">
        <v>44.372999999999998</v>
      </c>
      <c r="Q302" s="26">
        <v>17.960999999999999</v>
      </c>
    </row>
    <row r="303" spans="1:17" x14ac:dyDescent="0.25">
      <c r="A303" t="s">
        <v>185</v>
      </c>
      <c r="B303">
        <v>40</v>
      </c>
      <c r="C303">
        <v>80</v>
      </c>
      <c r="D303" s="26">
        <v>4</v>
      </c>
      <c r="E303" s="26">
        <v>0.22600000000000001</v>
      </c>
      <c r="F303" s="26">
        <v>8.548</v>
      </c>
      <c r="G303" s="26">
        <v>6.71</v>
      </c>
      <c r="H303" s="26">
        <v>64.753</v>
      </c>
      <c r="I303" s="26">
        <v>16.187999999999999</v>
      </c>
      <c r="J303" s="26">
        <v>2.7519999999999998</v>
      </c>
      <c r="K303" s="26">
        <v>20.927</v>
      </c>
      <c r="L303" s="26">
        <v>21.440999999999999</v>
      </c>
      <c r="M303" s="26">
        <v>10.721</v>
      </c>
      <c r="N303" s="26">
        <v>1.5840000000000001</v>
      </c>
      <c r="O303" s="26">
        <v>12.792999999999999</v>
      </c>
      <c r="P303" s="26">
        <v>52.268000000000001</v>
      </c>
      <c r="Q303" s="26">
        <v>21.640999999999998</v>
      </c>
    </row>
    <row r="304" spans="1:17" x14ac:dyDescent="0.25">
      <c r="A304" t="s">
        <v>186</v>
      </c>
      <c r="B304">
        <v>40</v>
      </c>
      <c r="C304">
        <v>100</v>
      </c>
      <c r="D304" s="26">
        <v>2</v>
      </c>
      <c r="E304" s="26">
        <v>0.27300000000000002</v>
      </c>
      <c r="F304" s="26">
        <v>5.3369999999999997</v>
      </c>
      <c r="G304" s="26">
        <v>4.1900000000000004</v>
      </c>
      <c r="H304" s="26">
        <v>65.332999999999998</v>
      </c>
      <c r="I304" s="26">
        <v>13.067</v>
      </c>
      <c r="J304" s="26">
        <v>3.4990000000000001</v>
      </c>
      <c r="K304" s="26">
        <v>16.545999999999999</v>
      </c>
      <c r="L304" s="26">
        <v>15.599</v>
      </c>
      <c r="M304" s="26">
        <v>7.8</v>
      </c>
      <c r="N304" s="26">
        <v>1.71</v>
      </c>
      <c r="O304" s="26">
        <v>8.6959999999999997</v>
      </c>
      <c r="P304" s="26">
        <v>40.619999999999997</v>
      </c>
      <c r="Q304" s="26">
        <v>14.865</v>
      </c>
    </row>
    <row r="305" spans="1:17" x14ac:dyDescent="0.25">
      <c r="A305" t="s">
        <v>187</v>
      </c>
      <c r="B305">
        <v>40</v>
      </c>
      <c r="C305">
        <v>100</v>
      </c>
      <c r="D305" s="26">
        <v>2.5</v>
      </c>
      <c r="E305" s="26">
        <v>0.27100000000000002</v>
      </c>
      <c r="F305" s="26">
        <v>6.5890000000000004</v>
      </c>
      <c r="G305" s="26">
        <v>5.1719999999999997</v>
      </c>
      <c r="H305" s="26">
        <v>79.257999999999996</v>
      </c>
      <c r="I305" s="26">
        <v>15.852</v>
      </c>
      <c r="J305" s="26">
        <v>3.468</v>
      </c>
      <c r="K305" s="26">
        <v>20.236999999999998</v>
      </c>
      <c r="L305" s="26">
        <v>18.756</v>
      </c>
      <c r="M305" s="26">
        <v>9.3780000000000001</v>
      </c>
      <c r="N305" s="26">
        <v>1.6870000000000001</v>
      </c>
      <c r="O305" s="26">
        <v>10.596</v>
      </c>
      <c r="P305" s="26">
        <v>49.185000000000002</v>
      </c>
      <c r="Q305" s="26">
        <v>18.221</v>
      </c>
    </row>
    <row r="306" spans="1:17" x14ac:dyDescent="0.25">
      <c r="A306" t="s">
        <v>188</v>
      </c>
      <c r="B306">
        <v>40</v>
      </c>
      <c r="C306">
        <v>100</v>
      </c>
      <c r="D306" s="26">
        <v>3.2</v>
      </c>
      <c r="E306" s="26">
        <v>0.26900000000000002</v>
      </c>
      <c r="F306" s="26">
        <v>8.2870000000000008</v>
      </c>
      <c r="G306" s="26">
        <v>6.5049999999999999</v>
      </c>
      <c r="H306" s="26">
        <v>97.215000000000003</v>
      </c>
      <c r="I306" s="26">
        <v>19.443000000000001</v>
      </c>
      <c r="J306" s="26">
        <v>3.4249999999999998</v>
      </c>
      <c r="K306" s="26">
        <v>25.113</v>
      </c>
      <c r="L306" s="26">
        <v>22.716999999999999</v>
      </c>
      <c r="M306" s="26">
        <v>11.359</v>
      </c>
      <c r="N306" s="26">
        <v>1.6559999999999999</v>
      </c>
      <c r="O306" s="26">
        <v>13.08</v>
      </c>
      <c r="P306" s="26">
        <v>60.115000000000002</v>
      </c>
      <c r="Q306" s="26">
        <v>22.672000000000001</v>
      </c>
    </row>
    <row r="307" spans="1:17" x14ac:dyDescent="0.25">
      <c r="A307" t="s">
        <v>189</v>
      </c>
      <c r="B307">
        <v>40</v>
      </c>
      <c r="C307">
        <v>100</v>
      </c>
      <c r="D307" s="26">
        <v>4</v>
      </c>
      <c r="E307" s="26">
        <v>0.26600000000000001</v>
      </c>
      <c r="F307" s="26">
        <v>10.148</v>
      </c>
      <c r="G307" s="26">
        <v>7.9660000000000002</v>
      </c>
      <c r="H307" s="26">
        <v>115.60599999999999</v>
      </c>
      <c r="I307" s="26">
        <v>23.120999999999999</v>
      </c>
      <c r="J307" s="26">
        <v>3.375</v>
      </c>
      <c r="K307" s="26">
        <v>30.274999999999999</v>
      </c>
      <c r="L307" s="26">
        <v>26.625</v>
      </c>
      <c r="M307" s="26">
        <v>13.313000000000001</v>
      </c>
      <c r="N307" s="26">
        <v>1.62</v>
      </c>
      <c r="O307" s="26">
        <v>15.673</v>
      </c>
      <c r="P307" s="26">
        <v>71.097999999999999</v>
      </c>
      <c r="Q307" s="26">
        <v>27.401</v>
      </c>
    </row>
    <row r="308" spans="1:17" x14ac:dyDescent="0.25">
      <c r="A308" t="s">
        <v>190</v>
      </c>
      <c r="B308">
        <v>40</v>
      </c>
      <c r="C308">
        <v>120</v>
      </c>
      <c r="D308" s="26">
        <v>2</v>
      </c>
      <c r="E308" s="26">
        <v>0.313</v>
      </c>
      <c r="F308" s="26">
        <v>6.1369999999999996</v>
      </c>
      <c r="G308" s="26">
        <v>4.8179999999999996</v>
      </c>
      <c r="H308" s="26">
        <v>104.003</v>
      </c>
      <c r="I308" s="26">
        <v>17.334</v>
      </c>
      <c r="J308" s="26">
        <v>4.117</v>
      </c>
      <c r="K308" s="26">
        <v>22.283000000000001</v>
      </c>
      <c r="L308" s="26">
        <v>18.486999999999998</v>
      </c>
      <c r="M308" s="26">
        <v>9.2439999999999998</v>
      </c>
      <c r="N308" s="26">
        <v>1.736</v>
      </c>
      <c r="O308" s="26">
        <v>10.215999999999999</v>
      </c>
      <c r="P308" s="26">
        <v>51.377000000000002</v>
      </c>
      <c r="Q308" s="26">
        <v>17.905000000000001</v>
      </c>
    </row>
    <row r="309" spans="1:17" x14ac:dyDescent="0.25">
      <c r="A309" t="s">
        <v>191</v>
      </c>
      <c r="B309">
        <v>40</v>
      </c>
      <c r="C309">
        <v>120</v>
      </c>
      <c r="D309" s="26">
        <v>2.5</v>
      </c>
      <c r="E309" s="26">
        <v>0.311</v>
      </c>
      <c r="F309" s="26">
        <v>7.5890000000000004</v>
      </c>
      <c r="G309" s="26">
        <v>5.9569999999999999</v>
      </c>
      <c r="H309" s="26">
        <v>126.61499999999999</v>
      </c>
      <c r="I309" s="26">
        <v>21.102</v>
      </c>
      <c r="J309" s="26">
        <v>4.085</v>
      </c>
      <c r="K309" s="26">
        <v>27.326000000000001</v>
      </c>
      <c r="L309" s="26">
        <v>22.271000000000001</v>
      </c>
      <c r="M309" s="26">
        <v>11.135999999999999</v>
      </c>
      <c r="N309" s="26">
        <v>1.7130000000000001</v>
      </c>
      <c r="O309" s="26">
        <v>12.471</v>
      </c>
      <c r="P309" s="26">
        <v>62.286000000000001</v>
      </c>
      <c r="Q309" s="26">
        <v>21.971</v>
      </c>
    </row>
    <row r="310" spans="1:17" x14ac:dyDescent="0.25">
      <c r="A310" t="s">
        <v>192</v>
      </c>
      <c r="B310">
        <v>40</v>
      </c>
      <c r="C310">
        <v>120</v>
      </c>
      <c r="D310" s="26">
        <v>3.2</v>
      </c>
      <c r="E310" s="26">
        <v>0.309</v>
      </c>
      <c r="F310" s="26">
        <v>9.5670000000000002</v>
      </c>
      <c r="G310" s="26">
        <v>7.51</v>
      </c>
      <c r="H310" s="26">
        <v>156.08799999999999</v>
      </c>
      <c r="I310" s="26">
        <v>26.015000000000001</v>
      </c>
      <c r="J310" s="26">
        <v>4.0389999999999997</v>
      </c>
      <c r="K310" s="26">
        <v>34.039000000000001</v>
      </c>
      <c r="L310" s="26">
        <v>27.050999999999998</v>
      </c>
      <c r="M310" s="26">
        <v>13.525</v>
      </c>
      <c r="N310" s="26">
        <v>1.6819999999999999</v>
      </c>
      <c r="O310" s="26">
        <v>15.435</v>
      </c>
      <c r="P310" s="26">
        <v>76.272000000000006</v>
      </c>
      <c r="Q310" s="26">
        <v>27.382000000000001</v>
      </c>
    </row>
    <row r="311" spans="1:17" x14ac:dyDescent="0.25">
      <c r="A311" t="s">
        <v>193</v>
      </c>
      <c r="B311">
        <v>40</v>
      </c>
      <c r="C311">
        <v>120</v>
      </c>
      <c r="D311" s="26">
        <v>4</v>
      </c>
      <c r="E311" s="26">
        <v>0.30599999999999999</v>
      </c>
      <c r="F311" s="26">
        <v>11.747999999999999</v>
      </c>
      <c r="G311" s="26">
        <v>9.2219999999999995</v>
      </c>
      <c r="H311" s="26">
        <v>186.733</v>
      </c>
      <c r="I311" s="26">
        <v>31.122</v>
      </c>
      <c r="J311" s="26">
        <v>3.9870000000000001</v>
      </c>
      <c r="K311" s="26">
        <v>41.222000000000001</v>
      </c>
      <c r="L311" s="26">
        <v>31.809000000000001</v>
      </c>
      <c r="M311" s="26">
        <v>15.904999999999999</v>
      </c>
      <c r="N311" s="26">
        <v>1.645</v>
      </c>
      <c r="O311" s="26">
        <v>18.553000000000001</v>
      </c>
      <c r="P311" s="26">
        <v>90.43</v>
      </c>
      <c r="Q311" s="26">
        <v>33.161000000000001</v>
      </c>
    </row>
    <row r="312" spans="1:17" x14ac:dyDescent="0.25">
      <c r="A312" t="s">
        <v>194</v>
      </c>
      <c r="B312">
        <v>40</v>
      </c>
      <c r="C312">
        <v>140</v>
      </c>
      <c r="D312" s="26">
        <v>3.2</v>
      </c>
      <c r="E312" s="26">
        <v>0.34899999999999998</v>
      </c>
      <c r="F312" s="26">
        <v>10.847</v>
      </c>
      <c r="G312" s="26">
        <v>8.5150000000000006</v>
      </c>
      <c r="H312" s="26">
        <v>234.08099999999999</v>
      </c>
      <c r="I312" s="26">
        <v>33.44</v>
      </c>
      <c r="J312" s="26">
        <v>4.6459999999999999</v>
      </c>
      <c r="K312" s="26">
        <v>44.244999999999997</v>
      </c>
      <c r="L312" s="26">
        <v>31.384</v>
      </c>
      <c r="M312" s="26">
        <v>15.692</v>
      </c>
      <c r="N312" s="26">
        <v>1.7010000000000001</v>
      </c>
      <c r="O312" s="26">
        <v>17.79</v>
      </c>
      <c r="P312" s="26">
        <v>92.7</v>
      </c>
      <c r="Q312" s="26">
        <v>32.093000000000004</v>
      </c>
    </row>
    <row r="313" spans="1:17" x14ac:dyDescent="0.25">
      <c r="A313" t="s">
        <v>195</v>
      </c>
      <c r="B313">
        <v>40</v>
      </c>
      <c r="C313">
        <v>140</v>
      </c>
      <c r="D313" s="26">
        <v>4</v>
      </c>
      <c r="E313" s="26">
        <v>0.34599999999999997</v>
      </c>
      <c r="F313" s="26">
        <v>13.348000000000001</v>
      </c>
      <c r="G313" s="26">
        <v>10.478</v>
      </c>
      <c r="H313" s="26">
        <v>281.33600000000001</v>
      </c>
      <c r="I313" s="26">
        <v>40.191000000000003</v>
      </c>
      <c r="J313" s="26">
        <v>4.5910000000000002</v>
      </c>
      <c r="K313" s="26">
        <v>53.768999999999998</v>
      </c>
      <c r="L313" s="26">
        <v>36.993000000000002</v>
      </c>
      <c r="M313" s="26">
        <v>18.497</v>
      </c>
      <c r="N313" s="26">
        <v>1.665</v>
      </c>
      <c r="O313" s="26">
        <v>21.433</v>
      </c>
      <c r="P313" s="26">
        <v>110.089</v>
      </c>
      <c r="Q313" s="26">
        <v>38.920999999999999</v>
      </c>
    </row>
    <row r="314" spans="1:17" x14ac:dyDescent="0.25">
      <c r="A314" t="s">
        <v>196</v>
      </c>
      <c r="B314">
        <v>40</v>
      </c>
      <c r="C314">
        <v>140</v>
      </c>
      <c r="D314" s="26">
        <v>4.75</v>
      </c>
      <c r="E314" s="26">
        <v>0.34399999999999997</v>
      </c>
      <c r="F314" s="26">
        <v>15.616</v>
      </c>
      <c r="G314" s="26">
        <v>12.259</v>
      </c>
      <c r="H314" s="26">
        <v>321.767</v>
      </c>
      <c r="I314" s="26">
        <v>45.966999999999999</v>
      </c>
      <c r="J314" s="26">
        <v>4.5389999999999997</v>
      </c>
      <c r="K314" s="26">
        <v>62.154000000000003</v>
      </c>
      <c r="L314" s="26">
        <v>41.530999999999999</v>
      </c>
      <c r="M314" s="26">
        <v>20.765000000000001</v>
      </c>
      <c r="N314" s="26">
        <v>1.631</v>
      </c>
      <c r="O314" s="26">
        <v>24.571000000000002</v>
      </c>
      <c r="P314" s="26">
        <v>124.34099999999999</v>
      </c>
      <c r="Q314" s="26">
        <v>44.878</v>
      </c>
    </row>
    <row r="315" spans="1:17" x14ac:dyDescent="0.25">
      <c r="A315" t="s">
        <v>197</v>
      </c>
      <c r="B315">
        <v>40</v>
      </c>
      <c r="C315">
        <v>140</v>
      </c>
      <c r="D315" s="26">
        <v>6.35</v>
      </c>
      <c r="E315" s="26">
        <v>0.33800000000000002</v>
      </c>
      <c r="F315" s="26">
        <v>20.209</v>
      </c>
      <c r="G315" s="26">
        <v>15.864000000000001</v>
      </c>
      <c r="H315" s="26">
        <v>395.95800000000003</v>
      </c>
      <c r="I315" s="26">
        <v>56.564999999999998</v>
      </c>
      <c r="J315" s="26">
        <v>4.4260000000000002</v>
      </c>
      <c r="K315" s="26">
        <v>78.319000000000003</v>
      </c>
      <c r="L315" s="26">
        <v>49.067999999999998</v>
      </c>
      <c r="M315" s="26">
        <v>24.533999999999999</v>
      </c>
      <c r="N315" s="26">
        <v>1.5580000000000001</v>
      </c>
      <c r="O315" s="26">
        <v>30.402999999999999</v>
      </c>
      <c r="P315" s="26">
        <v>148.26499999999999</v>
      </c>
      <c r="Q315" s="26">
        <v>56.127000000000002</v>
      </c>
    </row>
    <row r="316" spans="1:17" x14ac:dyDescent="0.25">
      <c r="A316" t="s">
        <v>198</v>
      </c>
      <c r="B316">
        <v>50</v>
      </c>
      <c r="C316">
        <v>70</v>
      </c>
      <c r="D316" s="26">
        <v>2.5</v>
      </c>
      <c r="E316" s="26">
        <v>0.23100000000000001</v>
      </c>
      <c r="F316" s="26">
        <v>5.5890000000000004</v>
      </c>
      <c r="G316" s="26">
        <v>4.3869999999999996</v>
      </c>
      <c r="H316" s="26">
        <v>37.988</v>
      </c>
      <c r="I316" s="26">
        <v>10.853999999999999</v>
      </c>
      <c r="J316" s="26">
        <v>2.6070000000000002</v>
      </c>
      <c r="K316" s="26">
        <v>13.167</v>
      </c>
      <c r="L316" s="26">
        <v>22.571999999999999</v>
      </c>
      <c r="M316" s="26">
        <v>9.0289999999999999</v>
      </c>
      <c r="N316" s="26">
        <v>2.0099999999999998</v>
      </c>
      <c r="O316" s="26">
        <v>10.452999999999999</v>
      </c>
      <c r="P316" s="26">
        <v>44.36</v>
      </c>
      <c r="Q316" s="26">
        <v>15.971</v>
      </c>
    </row>
    <row r="317" spans="1:17" x14ac:dyDescent="0.25">
      <c r="A317" t="s">
        <v>199</v>
      </c>
      <c r="B317">
        <v>50</v>
      </c>
      <c r="C317">
        <v>70</v>
      </c>
      <c r="D317" s="26">
        <v>3.2</v>
      </c>
      <c r="E317" s="26">
        <v>0.22900000000000001</v>
      </c>
      <c r="F317" s="26">
        <v>7.0069999999999997</v>
      </c>
      <c r="G317" s="26">
        <v>5.5</v>
      </c>
      <c r="H317" s="26">
        <v>46.295000000000002</v>
      </c>
      <c r="I317" s="26">
        <v>13.227</v>
      </c>
      <c r="J317" s="26">
        <v>2.57</v>
      </c>
      <c r="K317" s="26">
        <v>16.260999999999999</v>
      </c>
      <c r="L317" s="26">
        <v>27.396000000000001</v>
      </c>
      <c r="M317" s="26">
        <v>10.958</v>
      </c>
      <c r="N317" s="26">
        <v>1.9770000000000001</v>
      </c>
      <c r="O317" s="26">
        <v>12.89</v>
      </c>
      <c r="P317" s="26">
        <v>54.366999999999997</v>
      </c>
      <c r="Q317" s="26">
        <v>19.881</v>
      </c>
    </row>
    <row r="318" spans="1:17" x14ac:dyDescent="0.25">
      <c r="A318" t="s">
        <v>200</v>
      </c>
      <c r="B318">
        <v>50</v>
      </c>
      <c r="C318">
        <v>70</v>
      </c>
      <c r="D318" s="26">
        <v>4</v>
      </c>
      <c r="E318" s="26">
        <v>0.22600000000000001</v>
      </c>
      <c r="F318" s="26">
        <v>8.548</v>
      </c>
      <c r="G318" s="26">
        <v>6.71</v>
      </c>
      <c r="H318" s="26">
        <v>54.642000000000003</v>
      </c>
      <c r="I318" s="26">
        <v>15.612</v>
      </c>
      <c r="J318" s="26">
        <v>2.528</v>
      </c>
      <c r="K318" s="26">
        <v>19.494</v>
      </c>
      <c r="L318" s="26">
        <v>32.186</v>
      </c>
      <c r="M318" s="26">
        <v>12.874000000000001</v>
      </c>
      <c r="N318" s="26">
        <v>1.94</v>
      </c>
      <c r="O318" s="26">
        <v>15.427</v>
      </c>
      <c r="P318" s="26">
        <v>64.504000000000005</v>
      </c>
      <c r="Q318" s="26">
        <v>24.041</v>
      </c>
    </row>
    <row r="319" spans="1:17" x14ac:dyDescent="0.25">
      <c r="A319" t="s">
        <v>201</v>
      </c>
      <c r="B319">
        <v>50</v>
      </c>
      <c r="C319">
        <v>150</v>
      </c>
      <c r="D319" s="26">
        <v>3.2</v>
      </c>
      <c r="E319" s="26">
        <v>0.38900000000000001</v>
      </c>
      <c r="F319" s="26">
        <v>12.127000000000001</v>
      </c>
      <c r="G319" s="26">
        <v>9.5190000000000001</v>
      </c>
      <c r="H319" s="26">
        <v>315.52800000000002</v>
      </c>
      <c r="I319" s="26">
        <v>42.07</v>
      </c>
      <c r="J319" s="26">
        <v>5.101</v>
      </c>
      <c r="K319" s="26">
        <v>54.526000000000003</v>
      </c>
      <c r="L319" s="26">
        <v>55.430999999999997</v>
      </c>
      <c r="M319" s="26">
        <v>22.172000000000001</v>
      </c>
      <c r="N319" s="26">
        <v>2.1379999999999999</v>
      </c>
      <c r="O319" s="26">
        <v>24.870999999999999</v>
      </c>
      <c r="P319" s="26">
        <v>155.136</v>
      </c>
      <c r="Q319" s="26">
        <v>43.843000000000004</v>
      </c>
    </row>
    <row r="320" spans="1:17" x14ac:dyDescent="0.25">
      <c r="A320" t="s">
        <v>202</v>
      </c>
      <c r="B320">
        <v>50</v>
      </c>
      <c r="C320">
        <v>150</v>
      </c>
      <c r="D320" s="26">
        <v>4</v>
      </c>
      <c r="E320" s="26">
        <v>0.38600000000000001</v>
      </c>
      <c r="F320" s="26">
        <v>14.948</v>
      </c>
      <c r="G320" s="26">
        <v>11.734</v>
      </c>
      <c r="H320" s="26">
        <v>381.07299999999998</v>
      </c>
      <c r="I320" s="26">
        <v>50.81</v>
      </c>
      <c r="J320" s="26">
        <v>5.0490000000000004</v>
      </c>
      <c r="K320" s="26">
        <v>66.483000000000004</v>
      </c>
      <c r="L320" s="26">
        <v>66.042000000000002</v>
      </c>
      <c r="M320" s="26">
        <v>26.417000000000002</v>
      </c>
      <c r="N320" s="26">
        <v>2.1019999999999999</v>
      </c>
      <c r="O320" s="26">
        <v>30.146999999999998</v>
      </c>
      <c r="P320" s="26">
        <v>186.21</v>
      </c>
      <c r="Q320" s="26">
        <v>53.481000000000002</v>
      </c>
    </row>
    <row r="321" spans="1:17" x14ac:dyDescent="0.25">
      <c r="A321" t="s">
        <v>203</v>
      </c>
      <c r="B321">
        <v>50</v>
      </c>
      <c r="C321">
        <v>150</v>
      </c>
      <c r="D321" s="26">
        <v>4.75</v>
      </c>
      <c r="E321" s="26">
        <v>0.38400000000000001</v>
      </c>
      <c r="F321" s="26">
        <v>17.515999999999998</v>
      </c>
      <c r="G321" s="26">
        <v>13.75</v>
      </c>
      <c r="H321" s="26">
        <v>437.916</v>
      </c>
      <c r="I321" s="26">
        <v>58.389000000000003</v>
      </c>
      <c r="J321" s="26">
        <v>5</v>
      </c>
      <c r="K321" s="26">
        <v>77.099000000000004</v>
      </c>
      <c r="L321" s="26">
        <v>74.92</v>
      </c>
      <c r="M321" s="26">
        <v>29.968</v>
      </c>
      <c r="N321" s="26">
        <v>2.0680000000000001</v>
      </c>
      <c r="O321" s="26">
        <v>34.765999999999998</v>
      </c>
      <c r="P321" s="26">
        <v>212.578</v>
      </c>
      <c r="Q321" s="26">
        <v>62.024999999999999</v>
      </c>
    </row>
    <row r="322" spans="1:17" x14ac:dyDescent="0.25">
      <c r="A322" t="s">
        <v>204</v>
      </c>
      <c r="B322">
        <v>50</v>
      </c>
      <c r="C322">
        <v>150</v>
      </c>
      <c r="D322" s="26">
        <v>6.35</v>
      </c>
      <c r="E322" s="26">
        <v>0.378</v>
      </c>
      <c r="F322" s="26">
        <v>22.748999999999999</v>
      </c>
      <c r="G322" s="26">
        <v>17.858000000000001</v>
      </c>
      <c r="H322" s="26">
        <v>544.78399999999999</v>
      </c>
      <c r="I322" s="26">
        <v>72.638000000000005</v>
      </c>
      <c r="J322" s="26">
        <v>4.8940000000000001</v>
      </c>
      <c r="K322" s="26">
        <v>97.861999999999995</v>
      </c>
      <c r="L322" s="26">
        <v>90.631</v>
      </c>
      <c r="M322" s="26">
        <v>36.252000000000002</v>
      </c>
      <c r="N322" s="26">
        <v>1.996</v>
      </c>
      <c r="O322" s="26">
        <v>43.594999999999999</v>
      </c>
      <c r="P322" s="26">
        <v>260.00799999999998</v>
      </c>
      <c r="Q322" s="26">
        <v>78.644000000000005</v>
      </c>
    </row>
    <row r="323" spans="1:17" x14ac:dyDescent="0.25">
      <c r="A323" t="s">
        <v>205</v>
      </c>
      <c r="B323">
        <v>60</v>
      </c>
      <c r="C323">
        <v>80</v>
      </c>
      <c r="D323" s="26">
        <v>2.5</v>
      </c>
      <c r="E323" s="26">
        <v>0.27100000000000002</v>
      </c>
      <c r="F323" s="26">
        <v>6.5890000000000004</v>
      </c>
      <c r="G323" s="26">
        <v>5.1719999999999997</v>
      </c>
      <c r="H323" s="26">
        <v>60.088000000000001</v>
      </c>
      <c r="I323" s="26">
        <v>15.022</v>
      </c>
      <c r="J323" s="26">
        <v>3.02</v>
      </c>
      <c r="K323" s="26">
        <v>18.024000000000001</v>
      </c>
      <c r="L323" s="26">
        <v>38.587000000000003</v>
      </c>
      <c r="M323" s="26">
        <v>12.862</v>
      </c>
      <c r="N323" s="26">
        <v>2.42</v>
      </c>
      <c r="O323" s="26">
        <v>14.81</v>
      </c>
      <c r="P323" s="26">
        <v>73.150999999999996</v>
      </c>
      <c r="Q323" s="26">
        <v>22.221</v>
      </c>
    </row>
    <row r="324" spans="1:17" x14ac:dyDescent="0.25">
      <c r="A324" t="s">
        <v>206</v>
      </c>
      <c r="B324">
        <v>60</v>
      </c>
      <c r="C324">
        <v>80</v>
      </c>
      <c r="D324" s="26">
        <v>3.2</v>
      </c>
      <c r="E324" s="26">
        <v>0.26900000000000002</v>
      </c>
      <c r="F324" s="26">
        <v>8.2870000000000008</v>
      </c>
      <c r="G324" s="26">
        <v>6.5049999999999999</v>
      </c>
      <c r="H324" s="26">
        <v>73.775999999999996</v>
      </c>
      <c r="I324" s="26">
        <v>18.443999999999999</v>
      </c>
      <c r="J324" s="26">
        <v>2.984</v>
      </c>
      <c r="K324" s="26">
        <v>22.382000000000001</v>
      </c>
      <c r="L324" s="26">
        <v>47.237000000000002</v>
      </c>
      <c r="M324" s="26">
        <v>15.746</v>
      </c>
      <c r="N324" s="26">
        <v>2.3879999999999999</v>
      </c>
      <c r="O324" s="26">
        <v>18.370999999999999</v>
      </c>
      <c r="P324" s="26">
        <v>90.332999999999998</v>
      </c>
      <c r="Q324" s="26">
        <v>27.792000000000002</v>
      </c>
    </row>
    <row r="325" spans="1:17" x14ac:dyDescent="0.25">
      <c r="A325" t="s">
        <v>207</v>
      </c>
      <c r="B325">
        <v>60</v>
      </c>
      <c r="C325">
        <v>80</v>
      </c>
      <c r="D325" s="26">
        <v>4</v>
      </c>
      <c r="E325" s="26">
        <v>0.26600000000000001</v>
      </c>
      <c r="F325" s="26">
        <v>10.148</v>
      </c>
      <c r="G325" s="26">
        <v>7.9660000000000002</v>
      </c>
      <c r="H325" s="26">
        <v>87.856999999999999</v>
      </c>
      <c r="I325" s="26">
        <v>21.963999999999999</v>
      </c>
      <c r="J325" s="26">
        <v>2.9420000000000002</v>
      </c>
      <c r="K325" s="26">
        <v>27.007000000000001</v>
      </c>
      <c r="L325" s="26">
        <v>56.063000000000002</v>
      </c>
      <c r="M325" s="26">
        <v>18.687999999999999</v>
      </c>
      <c r="N325" s="26">
        <v>2.35</v>
      </c>
      <c r="O325" s="26">
        <v>22.14</v>
      </c>
      <c r="P325" s="26">
        <v>108.19</v>
      </c>
      <c r="Q325" s="26">
        <v>33.801000000000002</v>
      </c>
    </row>
    <row r="326" spans="1:17" x14ac:dyDescent="0.25">
      <c r="A326" t="s">
        <v>208</v>
      </c>
      <c r="B326">
        <v>60</v>
      </c>
      <c r="C326">
        <v>100</v>
      </c>
      <c r="D326" s="26">
        <v>3.2</v>
      </c>
      <c r="E326" s="26">
        <v>0.309</v>
      </c>
      <c r="F326" s="26">
        <v>9.5670000000000002</v>
      </c>
      <c r="G326" s="26">
        <v>7.51</v>
      </c>
      <c r="H326" s="26">
        <v>127.199</v>
      </c>
      <c r="I326" s="26">
        <v>25.44</v>
      </c>
      <c r="J326" s="26">
        <v>3.6459999999999999</v>
      </c>
      <c r="K326" s="26">
        <v>31.308</v>
      </c>
      <c r="L326" s="26">
        <v>57.561</v>
      </c>
      <c r="M326" s="26">
        <v>19.187000000000001</v>
      </c>
      <c r="N326" s="26">
        <v>2.4529999999999998</v>
      </c>
      <c r="O326" s="26">
        <v>22.006</v>
      </c>
      <c r="P326" s="26">
        <v>125.056</v>
      </c>
      <c r="Q326" s="26">
        <v>35.061999999999998</v>
      </c>
    </row>
    <row r="327" spans="1:17" x14ac:dyDescent="0.25">
      <c r="A327" t="s">
        <v>209</v>
      </c>
      <c r="B327">
        <v>60</v>
      </c>
      <c r="C327">
        <v>100</v>
      </c>
      <c r="D327" s="26">
        <v>4</v>
      </c>
      <c r="E327" s="26">
        <v>0.30599999999999999</v>
      </c>
      <c r="F327" s="26">
        <v>11.747999999999999</v>
      </c>
      <c r="G327" s="26">
        <v>9.2219999999999995</v>
      </c>
      <c r="H327" s="26">
        <v>152.47</v>
      </c>
      <c r="I327" s="26">
        <v>30.494</v>
      </c>
      <c r="J327" s="26">
        <v>3.6030000000000002</v>
      </c>
      <c r="K327" s="26">
        <v>37.954999999999998</v>
      </c>
      <c r="L327" s="26">
        <v>68.606999999999999</v>
      </c>
      <c r="M327" s="26">
        <v>22.869</v>
      </c>
      <c r="N327" s="26">
        <v>2.4169999999999998</v>
      </c>
      <c r="O327" s="26">
        <v>26.62</v>
      </c>
      <c r="P327" s="26">
        <v>150.36799999999999</v>
      </c>
      <c r="Q327" s="26">
        <v>42.761000000000003</v>
      </c>
    </row>
    <row r="328" spans="1:17" x14ac:dyDescent="0.25">
      <c r="A328" t="s">
        <v>210</v>
      </c>
      <c r="B328">
        <v>60</v>
      </c>
      <c r="C328">
        <v>100</v>
      </c>
      <c r="D328" s="26">
        <v>4.75</v>
      </c>
      <c r="E328" s="26">
        <v>0.30399999999999999</v>
      </c>
      <c r="F328" s="26">
        <v>13.715999999999999</v>
      </c>
      <c r="G328" s="26">
        <v>10.766999999999999</v>
      </c>
      <c r="H328" s="26">
        <v>173.952</v>
      </c>
      <c r="I328" s="26">
        <v>34.79</v>
      </c>
      <c r="J328" s="26">
        <v>3.5609999999999999</v>
      </c>
      <c r="K328" s="26">
        <v>43.771999999999998</v>
      </c>
      <c r="L328" s="26">
        <v>77.861000000000004</v>
      </c>
      <c r="M328" s="26">
        <v>25.954000000000001</v>
      </c>
      <c r="N328" s="26">
        <v>2.383</v>
      </c>
      <c r="O328" s="26">
        <v>30.638999999999999</v>
      </c>
      <c r="P328" s="26">
        <v>171.93199999999999</v>
      </c>
      <c r="Q328" s="26">
        <v>49.58</v>
      </c>
    </row>
    <row r="329" spans="1:17" x14ac:dyDescent="0.25">
      <c r="A329" t="s">
        <v>211</v>
      </c>
      <c r="B329">
        <v>60</v>
      </c>
      <c r="C329">
        <v>120</v>
      </c>
      <c r="D329" s="26">
        <v>3.2</v>
      </c>
      <c r="E329" s="26">
        <v>0.34899999999999998</v>
      </c>
      <c r="F329" s="26">
        <v>10.847</v>
      </c>
      <c r="G329" s="26">
        <v>8.5150000000000006</v>
      </c>
      <c r="H329" s="26">
        <v>199.74299999999999</v>
      </c>
      <c r="I329" s="26">
        <v>33.29</v>
      </c>
      <c r="J329" s="26">
        <v>4.2910000000000004</v>
      </c>
      <c r="K329" s="26">
        <v>41.514000000000003</v>
      </c>
      <c r="L329" s="26">
        <v>67.885000000000005</v>
      </c>
      <c r="M329" s="26">
        <v>22.628</v>
      </c>
      <c r="N329" s="26">
        <v>2.5019999999999998</v>
      </c>
      <c r="O329" s="26">
        <v>25.640999999999998</v>
      </c>
      <c r="P329" s="26">
        <v>161.29400000000001</v>
      </c>
      <c r="Q329" s="26">
        <v>42.332999999999998</v>
      </c>
    </row>
    <row r="330" spans="1:17" x14ac:dyDescent="0.25">
      <c r="A330" t="s">
        <v>212</v>
      </c>
      <c r="B330">
        <v>60</v>
      </c>
      <c r="C330">
        <v>120</v>
      </c>
      <c r="D330" s="26">
        <v>4</v>
      </c>
      <c r="E330" s="26">
        <v>0.34599999999999997</v>
      </c>
      <c r="F330" s="26">
        <v>13.348000000000001</v>
      </c>
      <c r="G330" s="26">
        <v>10.478</v>
      </c>
      <c r="H330" s="26">
        <v>240.55699999999999</v>
      </c>
      <c r="I330" s="26">
        <v>40.093000000000004</v>
      </c>
      <c r="J330" s="26">
        <v>4.2450000000000001</v>
      </c>
      <c r="K330" s="26">
        <v>50.502000000000002</v>
      </c>
      <c r="L330" s="26">
        <v>81.150999999999996</v>
      </c>
      <c r="M330" s="26">
        <v>27.05</v>
      </c>
      <c r="N330" s="26">
        <v>2.4660000000000002</v>
      </c>
      <c r="O330" s="26">
        <v>31.1</v>
      </c>
      <c r="P330" s="26">
        <v>194.40600000000001</v>
      </c>
      <c r="Q330" s="26">
        <v>51.720999999999997</v>
      </c>
    </row>
    <row r="331" spans="1:17" x14ac:dyDescent="0.25">
      <c r="A331" t="s">
        <v>213</v>
      </c>
      <c r="B331">
        <v>60</v>
      </c>
      <c r="C331">
        <v>120</v>
      </c>
      <c r="D331" s="26">
        <v>4.75</v>
      </c>
      <c r="E331" s="26">
        <v>0.34399999999999997</v>
      </c>
      <c r="F331" s="26">
        <v>15.616</v>
      </c>
      <c r="G331" s="26">
        <v>12.259</v>
      </c>
      <c r="H331" s="26">
        <v>275.702</v>
      </c>
      <c r="I331" s="26">
        <v>45.95</v>
      </c>
      <c r="J331" s="26">
        <v>4.202</v>
      </c>
      <c r="K331" s="26">
        <v>58.438000000000002</v>
      </c>
      <c r="L331" s="26">
        <v>92.36</v>
      </c>
      <c r="M331" s="26">
        <v>30.786999999999999</v>
      </c>
      <c r="N331" s="26">
        <v>2.4319999999999999</v>
      </c>
      <c r="O331" s="26">
        <v>35.887999999999998</v>
      </c>
      <c r="P331" s="26">
        <v>222.833</v>
      </c>
      <c r="Q331" s="26">
        <v>60.078000000000003</v>
      </c>
    </row>
    <row r="332" spans="1:17" x14ac:dyDescent="0.25">
      <c r="A332" t="s">
        <v>214</v>
      </c>
      <c r="B332">
        <v>60</v>
      </c>
      <c r="C332">
        <v>120</v>
      </c>
      <c r="D332" s="26">
        <v>6.35</v>
      </c>
      <c r="E332" s="26">
        <v>0.33800000000000002</v>
      </c>
      <c r="F332" s="26">
        <v>20.209</v>
      </c>
      <c r="G332" s="26">
        <v>15.864000000000001</v>
      </c>
      <c r="H332" s="26">
        <v>340.99799999999999</v>
      </c>
      <c r="I332" s="26">
        <v>56.832999999999998</v>
      </c>
      <c r="J332" s="26">
        <v>4.1079999999999997</v>
      </c>
      <c r="K332" s="26">
        <v>73.816000000000003</v>
      </c>
      <c r="L332" s="26">
        <v>112.544</v>
      </c>
      <c r="M332" s="26">
        <v>37.515000000000001</v>
      </c>
      <c r="N332" s="26">
        <v>2.36</v>
      </c>
      <c r="O332" s="26">
        <v>45.066000000000003</v>
      </c>
      <c r="P332" s="26">
        <v>275.053</v>
      </c>
      <c r="Q332" s="26">
        <v>76.447000000000003</v>
      </c>
    </row>
    <row r="333" spans="1:17" x14ac:dyDescent="0.25">
      <c r="A333" t="s">
        <v>215</v>
      </c>
      <c r="B333">
        <v>70</v>
      </c>
      <c r="C333">
        <v>150</v>
      </c>
      <c r="D333" s="26">
        <v>3.2</v>
      </c>
      <c r="E333" s="26">
        <v>0.42899999999999999</v>
      </c>
      <c r="F333" s="26">
        <v>13.407</v>
      </c>
      <c r="G333" s="26">
        <v>10.523999999999999</v>
      </c>
      <c r="H333" s="26">
        <v>384.488</v>
      </c>
      <c r="I333" s="26">
        <v>51.265000000000001</v>
      </c>
      <c r="J333" s="26">
        <v>5.3550000000000004</v>
      </c>
      <c r="K333" s="26">
        <v>63.920999999999999</v>
      </c>
      <c r="L333" s="26">
        <v>117.691</v>
      </c>
      <c r="M333" s="26">
        <v>33.625999999999998</v>
      </c>
      <c r="N333" s="26">
        <v>2.9630000000000001</v>
      </c>
      <c r="O333" s="26">
        <v>37.637</v>
      </c>
      <c r="P333" s="26">
        <v>286.96499999999997</v>
      </c>
      <c r="Q333" s="26">
        <v>62.633000000000003</v>
      </c>
    </row>
    <row r="334" spans="1:17" x14ac:dyDescent="0.25">
      <c r="A334" t="s">
        <v>216</v>
      </c>
      <c r="B334">
        <v>70</v>
      </c>
      <c r="C334">
        <v>150</v>
      </c>
      <c r="D334" s="26">
        <v>4</v>
      </c>
      <c r="E334" s="26">
        <v>0.42599999999999999</v>
      </c>
      <c r="F334" s="26">
        <v>16.547999999999998</v>
      </c>
      <c r="G334" s="26">
        <v>12.99</v>
      </c>
      <c r="H334" s="26">
        <v>466.33699999999999</v>
      </c>
      <c r="I334" s="26">
        <v>62.177999999999997</v>
      </c>
      <c r="J334" s="26">
        <v>5.3090000000000002</v>
      </c>
      <c r="K334" s="26">
        <v>78.162999999999997</v>
      </c>
      <c r="L334" s="26">
        <v>141.762</v>
      </c>
      <c r="M334" s="26">
        <v>40.503</v>
      </c>
      <c r="N334" s="26">
        <v>2.927</v>
      </c>
      <c r="O334" s="26">
        <v>45.893999999999998</v>
      </c>
      <c r="P334" s="26">
        <v>348.142</v>
      </c>
      <c r="Q334" s="26">
        <v>76.840999999999994</v>
      </c>
    </row>
    <row r="335" spans="1:17" x14ac:dyDescent="0.25">
      <c r="A335" t="s">
        <v>217</v>
      </c>
      <c r="B335">
        <v>70</v>
      </c>
      <c r="C335">
        <v>150</v>
      </c>
      <c r="D335" s="26">
        <v>4.75</v>
      </c>
      <c r="E335" s="26">
        <v>0.42399999999999999</v>
      </c>
      <c r="F335" s="26">
        <v>19.416</v>
      </c>
      <c r="G335" s="26">
        <v>15.242000000000001</v>
      </c>
      <c r="H335" s="26">
        <v>538.12900000000002</v>
      </c>
      <c r="I335" s="26">
        <v>71.751000000000005</v>
      </c>
      <c r="J335" s="26">
        <v>5.2649999999999997</v>
      </c>
      <c r="K335" s="26">
        <v>90.897999999999996</v>
      </c>
      <c r="L335" s="26">
        <v>162.52600000000001</v>
      </c>
      <c r="M335" s="26">
        <v>46.436</v>
      </c>
      <c r="N335" s="26">
        <v>2.8929999999999998</v>
      </c>
      <c r="O335" s="26">
        <v>53.231000000000002</v>
      </c>
      <c r="P335" s="26">
        <v>401.66199999999998</v>
      </c>
      <c r="Q335" s="26">
        <v>89.623000000000005</v>
      </c>
    </row>
    <row r="336" spans="1:17" x14ac:dyDescent="0.25">
      <c r="A336" t="s">
        <v>218</v>
      </c>
      <c r="B336">
        <v>70</v>
      </c>
      <c r="C336">
        <v>150</v>
      </c>
      <c r="D336" s="26">
        <v>6.35</v>
      </c>
      <c r="E336" s="26">
        <v>0.41799999999999998</v>
      </c>
      <c r="F336" s="26">
        <v>25.289000000000001</v>
      </c>
      <c r="G336" s="26">
        <v>19.852</v>
      </c>
      <c r="H336" s="26">
        <v>675.81799999999998</v>
      </c>
      <c r="I336" s="26">
        <v>90.108999999999995</v>
      </c>
      <c r="J336" s="26">
        <v>5.17</v>
      </c>
      <c r="K336" s="26">
        <v>116.105</v>
      </c>
      <c r="L336" s="26">
        <v>201.285</v>
      </c>
      <c r="M336" s="26">
        <v>57.51</v>
      </c>
      <c r="N336" s="26">
        <v>2.8210000000000002</v>
      </c>
      <c r="O336" s="26">
        <v>67.611999999999995</v>
      </c>
      <c r="P336" s="26">
        <v>503.47800000000001</v>
      </c>
      <c r="Q336" s="26">
        <v>115.131</v>
      </c>
    </row>
    <row r="337" spans="1:17" x14ac:dyDescent="0.25">
      <c r="A337" t="s">
        <v>219</v>
      </c>
      <c r="B337">
        <v>80</v>
      </c>
      <c r="C337">
        <v>100</v>
      </c>
      <c r="D337" s="26">
        <v>4</v>
      </c>
      <c r="E337" s="26">
        <v>0.34599999999999997</v>
      </c>
      <c r="F337" s="26">
        <v>13.348000000000001</v>
      </c>
      <c r="G337" s="26">
        <v>10.478</v>
      </c>
      <c r="H337" s="26">
        <v>189.334</v>
      </c>
      <c r="I337" s="26">
        <v>37.866999999999997</v>
      </c>
      <c r="J337" s="26">
        <v>3.766</v>
      </c>
      <c r="K337" s="26">
        <v>45.634999999999998</v>
      </c>
      <c r="L337" s="26">
        <v>134.065</v>
      </c>
      <c r="M337" s="26">
        <v>33.515999999999998</v>
      </c>
      <c r="N337" s="26">
        <v>3.169</v>
      </c>
      <c r="O337" s="26">
        <v>39.167000000000002</v>
      </c>
      <c r="P337" s="26">
        <v>245.495</v>
      </c>
      <c r="Q337" s="26">
        <v>58.121000000000002</v>
      </c>
    </row>
    <row r="338" spans="1:17" x14ac:dyDescent="0.25">
      <c r="A338" t="s">
        <v>220</v>
      </c>
      <c r="B338">
        <v>80</v>
      </c>
      <c r="C338">
        <v>100</v>
      </c>
      <c r="D338" s="26">
        <v>4.75</v>
      </c>
      <c r="E338" s="26">
        <v>0.34399999999999997</v>
      </c>
      <c r="F338" s="26">
        <v>15.616</v>
      </c>
      <c r="G338" s="26">
        <v>12.259</v>
      </c>
      <c r="H338" s="26">
        <v>217.04599999999999</v>
      </c>
      <c r="I338" s="26">
        <v>43.408999999999999</v>
      </c>
      <c r="J338" s="26">
        <v>3.7280000000000002</v>
      </c>
      <c r="K338" s="26">
        <v>52.820999999999998</v>
      </c>
      <c r="L338" s="26">
        <v>153.399</v>
      </c>
      <c r="M338" s="26">
        <v>38.35</v>
      </c>
      <c r="N338" s="26">
        <v>3.1339999999999999</v>
      </c>
      <c r="O338" s="26">
        <v>45.304000000000002</v>
      </c>
      <c r="P338" s="26">
        <v>282.77699999999999</v>
      </c>
      <c r="Q338" s="26">
        <v>67.677999999999997</v>
      </c>
    </row>
    <row r="339" spans="1:17" x14ac:dyDescent="0.25">
      <c r="A339" t="s">
        <v>221</v>
      </c>
      <c r="B339">
        <v>80</v>
      </c>
      <c r="C339">
        <v>100</v>
      </c>
      <c r="D339" s="26">
        <v>6.35</v>
      </c>
      <c r="E339" s="26">
        <v>0.33800000000000002</v>
      </c>
      <c r="F339" s="26">
        <v>20.209</v>
      </c>
      <c r="G339" s="26">
        <v>15.864000000000001</v>
      </c>
      <c r="H339" s="26">
        <v>268.66899999999998</v>
      </c>
      <c r="I339" s="26">
        <v>53.734000000000002</v>
      </c>
      <c r="J339" s="26">
        <v>3.6459999999999999</v>
      </c>
      <c r="K339" s="26">
        <v>66.772000000000006</v>
      </c>
      <c r="L339" s="26">
        <v>189.131</v>
      </c>
      <c r="M339" s="26">
        <v>47.283000000000001</v>
      </c>
      <c r="N339" s="26">
        <v>3.0590000000000002</v>
      </c>
      <c r="O339" s="26">
        <v>57.189</v>
      </c>
      <c r="P339" s="26">
        <v>353.02300000000002</v>
      </c>
      <c r="Q339" s="26">
        <v>86.606999999999999</v>
      </c>
    </row>
    <row r="340" spans="1:17" x14ac:dyDescent="0.25">
      <c r="A340" t="s">
        <v>222</v>
      </c>
      <c r="B340">
        <v>80</v>
      </c>
      <c r="C340">
        <v>120</v>
      </c>
      <c r="D340" s="26">
        <v>4</v>
      </c>
      <c r="E340" s="26">
        <v>0.38600000000000001</v>
      </c>
      <c r="F340" s="26">
        <v>14.948</v>
      </c>
      <c r="G340" s="26">
        <v>11.734</v>
      </c>
      <c r="H340" s="26">
        <v>294.38099999999997</v>
      </c>
      <c r="I340" s="26">
        <v>49.064</v>
      </c>
      <c r="J340" s="26">
        <v>4.4379999999999997</v>
      </c>
      <c r="K340" s="26">
        <v>59.781999999999996</v>
      </c>
      <c r="L340" s="26">
        <v>157.16900000000001</v>
      </c>
      <c r="M340" s="26">
        <v>39.292000000000002</v>
      </c>
      <c r="N340" s="26">
        <v>3.2429999999999999</v>
      </c>
      <c r="O340" s="26">
        <v>45.247</v>
      </c>
      <c r="P340" s="26">
        <v>321.57400000000001</v>
      </c>
      <c r="Q340" s="26">
        <v>70.281000000000006</v>
      </c>
    </row>
    <row r="341" spans="1:17" x14ac:dyDescent="0.25">
      <c r="A341" t="s">
        <v>223</v>
      </c>
      <c r="B341">
        <v>80</v>
      </c>
      <c r="C341">
        <v>120</v>
      </c>
      <c r="D341" s="26">
        <v>4.75</v>
      </c>
      <c r="E341" s="26">
        <v>0.38400000000000001</v>
      </c>
      <c r="F341" s="26">
        <v>17.515999999999998</v>
      </c>
      <c r="G341" s="26">
        <v>13.75</v>
      </c>
      <c r="H341" s="26">
        <v>338.79399999999998</v>
      </c>
      <c r="I341" s="26">
        <v>56.466000000000001</v>
      </c>
      <c r="J341" s="26">
        <v>4.3979999999999997</v>
      </c>
      <c r="K341" s="26">
        <v>69.385999999999996</v>
      </c>
      <c r="L341" s="26">
        <v>180.29599999999999</v>
      </c>
      <c r="M341" s="26">
        <v>45.073999999999998</v>
      </c>
      <c r="N341" s="26">
        <v>3.2080000000000002</v>
      </c>
      <c r="O341" s="26">
        <v>52.453000000000003</v>
      </c>
      <c r="P341" s="26">
        <v>371.31900000000002</v>
      </c>
      <c r="Q341" s="26">
        <v>81.974999999999994</v>
      </c>
    </row>
    <row r="342" spans="1:17" x14ac:dyDescent="0.25">
      <c r="A342" t="s">
        <v>224</v>
      </c>
      <c r="B342">
        <v>80</v>
      </c>
      <c r="C342">
        <v>120</v>
      </c>
      <c r="D342" s="26">
        <v>6.35</v>
      </c>
      <c r="E342" s="26">
        <v>0.378</v>
      </c>
      <c r="F342" s="26">
        <v>22.748999999999999</v>
      </c>
      <c r="G342" s="26">
        <v>17.858000000000001</v>
      </c>
      <c r="H342" s="26">
        <v>423.017</v>
      </c>
      <c r="I342" s="26">
        <v>70.503</v>
      </c>
      <c r="J342" s="26">
        <v>4.3120000000000003</v>
      </c>
      <c r="K342" s="26">
        <v>88.248999999999995</v>
      </c>
      <c r="L342" s="26">
        <v>223.57499999999999</v>
      </c>
      <c r="M342" s="26">
        <v>55.893999999999998</v>
      </c>
      <c r="N342" s="26">
        <v>3.1349999999999998</v>
      </c>
      <c r="O342" s="26">
        <v>66.543000000000006</v>
      </c>
      <c r="P342" s="26">
        <v>466.26</v>
      </c>
      <c r="Q342" s="26">
        <v>105.31399999999999</v>
      </c>
    </row>
    <row r="343" spans="1:17" x14ac:dyDescent="0.25">
      <c r="A343" t="s">
        <v>225</v>
      </c>
      <c r="B343">
        <v>80</v>
      </c>
      <c r="C343">
        <v>140</v>
      </c>
      <c r="D343" s="26">
        <v>4</v>
      </c>
      <c r="E343" s="26">
        <v>0.42599999999999999</v>
      </c>
      <c r="F343" s="26">
        <v>16.547999999999998</v>
      </c>
      <c r="G343" s="26">
        <v>12.99</v>
      </c>
      <c r="H343" s="26">
        <v>429.30399999999997</v>
      </c>
      <c r="I343" s="26">
        <v>61.329000000000001</v>
      </c>
      <c r="J343" s="26">
        <v>5.093</v>
      </c>
      <c r="K343" s="26">
        <v>75.528999999999996</v>
      </c>
      <c r="L343" s="26">
        <v>180.273</v>
      </c>
      <c r="M343" s="26">
        <v>45.067999999999998</v>
      </c>
      <c r="N343" s="26">
        <v>3.3010000000000002</v>
      </c>
      <c r="O343" s="26">
        <v>51.326999999999998</v>
      </c>
      <c r="P343" s="26">
        <v>400.73500000000001</v>
      </c>
      <c r="Q343" s="26">
        <v>82.441000000000003</v>
      </c>
    </row>
    <row r="344" spans="1:17" x14ac:dyDescent="0.25">
      <c r="A344" t="s">
        <v>226</v>
      </c>
      <c r="B344">
        <v>80</v>
      </c>
      <c r="C344">
        <v>140</v>
      </c>
      <c r="D344" s="26">
        <v>4.75</v>
      </c>
      <c r="E344" s="26">
        <v>0.42399999999999999</v>
      </c>
      <c r="F344" s="26">
        <v>19.416</v>
      </c>
      <c r="G344" s="26">
        <v>15.242000000000001</v>
      </c>
      <c r="H344" s="26">
        <v>495.54599999999999</v>
      </c>
      <c r="I344" s="26">
        <v>70.792000000000002</v>
      </c>
      <c r="J344" s="26">
        <v>5.0519999999999996</v>
      </c>
      <c r="K344" s="26">
        <v>87.852000000000004</v>
      </c>
      <c r="L344" s="26">
        <v>207.19300000000001</v>
      </c>
      <c r="M344" s="26">
        <v>51.798000000000002</v>
      </c>
      <c r="N344" s="26">
        <v>3.2669999999999999</v>
      </c>
      <c r="O344" s="26">
        <v>59.601999999999997</v>
      </c>
      <c r="P344" s="26">
        <v>463.48</v>
      </c>
      <c r="Q344" s="26">
        <v>96.272999999999996</v>
      </c>
    </row>
    <row r="345" spans="1:17" x14ac:dyDescent="0.25">
      <c r="A345" t="s">
        <v>227</v>
      </c>
      <c r="B345">
        <v>80</v>
      </c>
      <c r="C345">
        <v>140</v>
      </c>
      <c r="D345" s="26">
        <v>6.35</v>
      </c>
      <c r="E345" s="26">
        <v>0.41799999999999998</v>
      </c>
      <c r="F345" s="26">
        <v>25.289000000000001</v>
      </c>
      <c r="G345" s="26">
        <v>19.852</v>
      </c>
      <c r="H345" s="26">
        <v>622.80899999999997</v>
      </c>
      <c r="I345" s="26">
        <v>88.972999999999999</v>
      </c>
      <c r="J345" s="26">
        <v>4.9630000000000001</v>
      </c>
      <c r="K345" s="26">
        <v>112.26600000000001</v>
      </c>
      <c r="L345" s="26">
        <v>258.02</v>
      </c>
      <c r="M345" s="26">
        <v>64.504999999999995</v>
      </c>
      <c r="N345" s="26">
        <v>3.194</v>
      </c>
      <c r="O345" s="26">
        <v>75.896000000000001</v>
      </c>
      <c r="P345" s="26">
        <v>584.23299999999995</v>
      </c>
      <c r="Q345" s="26">
        <v>124.021</v>
      </c>
    </row>
    <row r="346" spans="1:17" x14ac:dyDescent="0.25">
      <c r="A346" t="s">
        <v>228</v>
      </c>
      <c r="B346">
        <v>100</v>
      </c>
      <c r="C346">
        <v>140</v>
      </c>
      <c r="D346" s="26">
        <v>3.2</v>
      </c>
      <c r="E346" s="26">
        <v>0.46899999999999997</v>
      </c>
      <c r="F346" s="26">
        <v>14.686999999999999</v>
      </c>
      <c r="G346" s="26">
        <v>11.529</v>
      </c>
      <c r="H346" s="26">
        <v>413.74</v>
      </c>
      <c r="I346" s="26">
        <v>59.11</v>
      </c>
      <c r="J346" s="26">
        <v>5.31</v>
      </c>
      <c r="K346" s="26">
        <v>70.510000000000005</v>
      </c>
      <c r="L346" s="26">
        <v>247.14</v>
      </c>
      <c r="M346" s="26">
        <v>49.43</v>
      </c>
      <c r="N346" s="26">
        <v>4.0999999999999996</v>
      </c>
      <c r="O346" s="26">
        <v>56.09</v>
      </c>
      <c r="P346" s="26">
        <v>479</v>
      </c>
      <c r="Q346" s="26">
        <v>84.62</v>
      </c>
    </row>
    <row r="347" spans="1:17" x14ac:dyDescent="0.25">
      <c r="A347" t="s">
        <v>229</v>
      </c>
      <c r="B347">
        <v>100</v>
      </c>
      <c r="C347">
        <v>140</v>
      </c>
      <c r="D347" s="26">
        <v>4</v>
      </c>
      <c r="E347" s="26">
        <v>0.46600000000000003</v>
      </c>
      <c r="F347" s="26">
        <v>18.148</v>
      </c>
      <c r="G347" s="26">
        <v>14.246</v>
      </c>
      <c r="H347" s="26">
        <v>503.29</v>
      </c>
      <c r="I347" s="26">
        <v>71.900000000000006</v>
      </c>
      <c r="J347" s="26">
        <v>5.27</v>
      </c>
      <c r="K347" s="26">
        <v>86.41</v>
      </c>
      <c r="L347" s="26">
        <v>299.93</v>
      </c>
      <c r="M347" s="26">
        <v>59.99</v>
      </c>
      <c r="N347" s="26">
        <v>4.07</v>
      </c>
      <c r="O347" s="26">
        <v>68.67</v>
      </c>
      <c r="P347" s="26">
        <v>585.01</v>
      </c>
      <c r="Q347" s="26">
        <v>104.2</v>
      </c>
    </row>
    <row r="348" spans="1:17" x14ac:dyDescent="0.25">
      <c r="A348" t="s">
        <v>230</v>
      </c>
      <c r="B348">
        <v>100</v>
      </c>
      <c r="C348">
        <v>140</v>
      </c>
      <c r="D348" s="26">
        <v>4.75</v>
      </c>
      <c r="E348" s="26">
        <v>0.46400000000000002</v>
      </c>
      <c r="F348" s="26">
        <v>21.315999999999999</v>
      </c>
      <c r="G348" s="26">
        <v>16.733000000000001</v>
      </c>
      <c r="H348" s="26">
        <v>582.44000000000005</v>
      </c>
      <c r="I348" s="26">
        <v>83.21</v>
      </c>
      <c r="J348" s="26">
        <v>5.23</v>
      </c>
      <c r="K348" s="26">
        <v>100.7</v>
      </c>
      <c r="L348" s="26">
        <v>346.33</v>
      </c>
      <c r="M348" s="26">
        <v>69.27</v>
      </c>
      <c r="N348" s="26">
        <v>4.03</v>
      </c>
      <c r="O348" s="26">
        <v>79.97</v>
      </c>
      <c r="P348" s="26">
        <v>679.38</v>
      </c>
      <c r="Q348" s="26">
        <v>121.97</v>
      </c>
    </row>
    <row r="349" spans="1:17" x14ac:dyDescent="0.25">
      <c r="A349" t="s">
        <v>231</v>
      </c>
      <c r="B349">
        <v>100</v>
      </c>
      <c r="C349">
        <v>140</v>
      </c>
      <c r="D349" s="26">
        <v>6.35</v>
      </c>
      <c r="E349" s="26">
        <v>0.45800000000000002</v>
      </c>
      <c r="F349" s="26">
        <v>27.829000000000001</v>
      </c>
      <c r="G349" s="26">
        <v>21.846</v>
      </c>
      <c r="H349" s="26">
        <v>736.24</v>
      </c>
      <c r="I349" s="26">
        <v>105.18</v>
      </c>
      <c r="J349" s="26">
        <v>5.14</v>
      </c>
      <c r="K349" s="26">
        <v>129.24</v>
      </c>
      <c r="L349" s="26">
        <v>435.74</v>
      </c>
      <c r="M349" s="26">
        <v>87.15</v>
      </c>
      <c r="N349" s="26">
        <v>3.96</v>
      </c>
      <c r="O349" s="26">
        <v>102.45</v>
      </c>
      <c r="P349" s="26">
        <v>864.44</v>
      </c>
      <c r="Q349" s="26">
        <v>157.97</v>
      </c>
    </row>
    <row r="350" spans="1:17" x14ac:dyDescent="0.25">
      <c r="A350" t="s">
        <v>232</v>
      </c>
      <c r="B350">
        <v>100</v>
      </c>
      <c r="C350">
        <v>180</v>
      </c>
      <c r="D350" s="26">
        <v>3.2</v>
      </c>
      <c r="E350" s="26">
        <v>0.54900000000000004</v>
      </c>
      <c r="F350" s="26">
        <v>17.247</v>
      </c>
      <c r="G350" s="26">
        <v>13.539</v>
      </c>
      <c r="H350" s="26">
        <v>757.75</v>
      </c>
      <c r="I350" s="26">
        <v>84.19</v>
      </c>
      <c r="J350" s="26">
        <v>6.63</v>
      </c>
      <c r="K350" s="26">
        <v>102.44</v>
      </c>
      <c r="L350" s="26">
        <v>307.11</v>
      </c>
      <c r="M350" s="26">
        <v>61.42</v>
      </c>
      <c r="N350" s="26">
        <v>4.22</v>
      </c>
      <c r="O350" s="26">
        <v>68.48</v>
      </c>
      <c r="P350" s="26">
        <v>683.56</v>
      </c>
      <c r="Q350" s="26">
        <v>109.4</v>
      </c>
    </row>
    <row r="351" spans="1:17" x14ac:dyDescent="0.25">
      <c r="A351" t="s">
        <v>233</v>
      </c>
      <c r="B351">
        <v>100</v>
      </c>
      <c r="C351">
        <v>180</v>
      </c>
      <c r="D351" s="26">
        <v>4</v>
      </c>
      <c r="E351" s="26">
        <v>0.54600000000000004</v>
      </c>
      <c r="F351" s="26">
        <v>21.347999999999999</v>
      </c>
      <c r="G351" s="26">
        <v>16.757999999999999</v>
      </c>
      <c r="H351" s="26">
        <v>925.48</v>
      </c>
      <c r="I351" s="26">
        <v>102.83</v>
      </c>
      <c r="J351" s="26">
        <v>6.58</v>
      </c>
      <c r="K351" s="26">
        <v>125.9</v>
      </c>
      <c r="L351" s="26">
        <v>373.65</v>
      </c>
      <c r="M351" s="26">
        <v>74.73</v>
      </c>
      <c r="N351" s="26">
        <v>4.18</v>
      </c>
      <c r="O351" s="26">
        <v>84.03</v>
      </c>
      <c r="P351" s="26">
        <v>836.56</v>
      </c>
      <c r="Q351" s="26">
        <v>134.91999999999999</v>
      </c>
    </row>
    <row r="352" spans="1:17" x14ac:dyDescent="0.25">
      <c r="A352" t="s">
        <v>234</v>
      </c>
      <c r="B352">
        <v>100</v>
      </c>
      <c r="C352">
        <v>180</v>
      </c>
      <c r="D352" s="26">
        <v>4.75</v>
      </c>
      <c r="E352" s="26">
        <v>0.54400000000000004</v>
      </c>
      <c r="F352" s="26">
        <v>25.116</v>
      </c>
      <c r="G352" s="26">
        <v>19.716000000000001</v>
      </c>
      <c r="H352" s="26">
        <v>1075.1500000000001</v>
      </c>
      <c r="I352" s="26">
        <v>119.46</v>
      </c>
      <c r="J352" s="26">
        <v>6.54</v>
      </c>
      <c r="K352" s="26">
        <v>147.13</v>
      </c>
      <c r="L352" s="26">
        <v>432.52</v>
      </c>
      <c r="M352" s="26">
        <v>86.5</v>
      </c>
      <c r="N352" s="26">
        <v>4.1500000000000004</v>
      </c>
      <c r="O352" s="26">
        <v>98.06</v>
      </c>
      <c r="P352" s="26">
        <v>973.49</v>
      </c>
      <c r="Q352" s="26">
        <v>158.16999999999999</v>
      </c>
    </row>
    <row r="353" spans="1:17" x14ac:dyDescent="0.25">
      <c r="A353" t="s">
        <v>235</v>
      </c>
      <c r="B353">
        <v>100</v>
      </c>
      <c r="C353">
        <v>180</v>
      </c>
      <c r="D353" s="26">
        <v>6.35</v>
      </c>
      <c r="E353" s="26">
        <v>0.53800000000000003</v>
      </c>
      <c r="F353" s="26">
        <v>32.908999999999999</v>
      </c>
      <c r="G353" s="26">
        <v>25.832999999999998</v>
      </c>
      <c r="H353" s="26">
        <v>1370.53</v>
      </c>
      <c r="I353" s="26">
        <v>152.28</v>
      </c>
      <c r="J353" s="26">
        <v>6.45</v>
      </c>
      <c r="K353" s="26">
        <v>189.97</v>
      </c>
      <c r="L353" s="26">
        <v>547.13</v>
      </c>
      <c r="M353" s="26">
        <v>109.43</v>
      </c>
      <c r="N353" s="26">
        <v>4.08</v>
      </c>
      <c r="O353" s="26">
        <v>126.24</v>
      </c>
      <c r="P353" s="26">
        <v>1244.51</v>
      </c>
      <c r="Q353" s="26">
        <v>205.54</v>
      </c>
    </row>
    <row r="354" spans="1:17" x14ac:dyDescent="0.25">
      <c r="A354" t="s">
        <v>236</v>
      </c>
      <c r="B354">
        <v>100</v>
      </c>
      <c r="C354">
        <v>200</v>
      </c>
      <c r="D354" s="26">
        <v>4</v>
      </c>
      <c r="E354" s="26">
        <v>0.58599999999999997</v>
      </c>
      <c r="F354" s="26">
        <v>22.948</v>
      </c>
      <c r="G354" s="26">
        <v>18.013999999999999</v>
      </c>
      <c r="H354" s="26">
        <v>1198.99</v>
      </c>
      <c r="I354" s="26">
        <v>119.9</v>
      </c>
      <c r="J354" s="26">
        <v>7.23</v>
      </c>
      <c r="K354" s="26">
        <v>148.05000000000001</v>
      </c>
      <c r="L354" s="26">
        <v>410.52</v>
      </c>
      <c r="M354" s="26">
        <v>82.1</v>
      </c>
      <c r="N354" s="26">
        <v>4.2300000000000004</v>
      </c>
      <c r="O354" s="26">
        <v>91.71</v>
      </c>
      <c r="P354" s="26">
        <v>966.79</v>
      </c>
      <c r="Q354" s="26">
        <v>150.28</v>
      </c>
    </row>
    <row r="355" spans="1:17" x14ac:dyDescent="0.25">
      <c r="A355" t="s">
        <v>237</v>
      </c>
      <c r="B355">
        <v>100</v>
      </c>
      <c r="C355">
        <v>200</v>
      </c>
      <c r="D355" s="26">
        <v>5</v>
      </c>
      <c r="E355" s="26">
        <v>0.58299999999999996</v>
      </c>
      <c r="F355" s="26">
        <v>28.356000000000002</v>
      </c>
      <c r="G355" s="26">
        <v>22.26</v>
      </c>
      <c r="H355" s="26">
        <v>1458.26</v>
      </c>
      <c r="I355" s="26">
        <v>145.83000000000001</v>
      </c>
      <c r="J355" s="26">
        <v>7.17</v>
      </c>
      <c r="K355" s="26">
        <v>181.4</v>
      </c>
      <c r="L355" s="26">
        <v>496.53</v>
      </c>
      <c r="M355" s="26">
        <v>99.31</v>
      </c>
      <c r="N355" s="26">
        <v>4.18</v>
      </c>
      <c r="O355" s="26">
        <v>112.12</v>
      </c>
      <c r="P355" s="26">
        <v>1177.2</v>
      </c>
      <c r="Q355" s="26">
        <v>184.77</v>
      </c>
    </row>
    <row r="356" spans="1:17" x14ac:dyDescent="0.25">
      <c r="A356" t="s">
        <v>238</v>
      </c>
      <c r="B356">
        <v>100</v>
      </c>
      <c r="C356">
        <v>200</v>
      </c>
      <c r="D356" s="26">
        <v>6</v>
      </c>
      <c r="E356" s="26">
        <v>0.57899999999999996</v>
      </c>
      <c r="F356" s="26">
        <v>33.633000000000003</v>
      </c>
      <c r="G356" s="26">
        <v>26.402000000000001</v>
      </c>
      <c r="H356" s="26">
        <v>1702.05</v>
      </c>
      <c r="I356" s="26">
        <v>170.21</v>
      </c>
      <c r="J356" s="26">
        <v>7.11</v>
      </c>
      <c r="K356" s="26">
        <v>213.31</v>
      </c>
      <c r="L356" s="26">
        <v>576.32000000000005</v>
      </c>
      <c r="M356" s="26">
        <v>115.26</v>
      </c>
      <c r="N356" s="26">
        <v>4.1399999999999997</v>
      </c>
      <c r="O356" s="26">
        <v>131.56</v>
      </c>
      <c r="P356" s="26">
        <v>1375.08</v>
      </c>
      <c r="Q356" s="26">
        <v>218</v>
      </c>
    </row>
    <row r="357" spans="1:17" x14ac:dyDescent="0.25">
      <c r="A357" t="s">
        <v>239</v>
      </c>
      <c r="B357">
        <v>100</v>
      </c>
      <c r="C357">
        <v>200</v>
      </c>
      <c r="D357" s="26">
        <v>8</v>
      </c>
      <c r="E357" s="26">
        <v>0.57299999999999995</v>
      </c>
      <c r="F357" s="26">
        <v>43.792000000000002</v>
      </c>
      <c r="G357" s="26">
        <v>34.377000000000002</v>
      </c>
      <c r="H357" s="26">
        <v>2144.6</v>
      </c>
      <c r="I357" s="26">
        <v>214.46</v>
      </c>
      <c r="J357" s="26">
        <v>7</v>
      </c>
      <c r="K357" s="26">
        <v>272.92</v>
      </c>
      <c r="L357" s="26">
        <v>718.11</v>
      </c>
      <c r="M357" s="26">
        <v>143.62</v>
      </c>
      <c r="N357" s="26">
        <v>4.05</v>
      </c>
      <c r="O357" s="26">
        <v>167.57</v>
      </c>
      <c r="P357" s="26">
        <v>1733.32</v>
      </c>
      <c r="Q357" s="26">
        <v>280.64999999999998</v>
      </c>
    </row>
    <row r="358" spans="1:17" x14ac:dyDescent="0.25">
      <c r="A358" t="s">
        <v>240</v>
      </c>
      <c r="B358">
        <v>100</v>
      </c>
      <c r="C358">
        <v>200</v>
      </c>
      <c r="D358" s="26">
        <v>10</v>
      </c>
      <c r="E358" s="26">
        <v>0.56599999999999995</v>
      </c>
      <c r="F358" s="26">
        <v>53.424999999999997</v>
      </c>
      <c r="G358" s="26">
        <v>41.938000000000002</v>
      </c>
      <c r="H358" s="26">
        <v>2529.41</v>
      </c>
      <c r="I358" s="26">
        <v>252.94</v>
      </c>
      <c r="J358" s="26">
        <v>6.88</v>
      </c>
      <c r="K358" s="26">
        <v>326.99</v>
      </c>
      <c r="L358" s="26">
        <v>837.54</v>
      </c>
      <c r="M358" s="26">
        <v>167.51</v>
      </c>
      <c r="N358" s="26">
        <v>3.96</v>
      </c>
      <c r="O358" s="26">
        <v>199.89</v>
      </c>
      <c r="P358" s="26">
        <v>2041.71</v>
      </c>
      <c r="Q358" s="26">
        <v>338.14</v>
      </c>
    </row>
    <row r="359" spans="1:17" x14ac:dyDescent="0.25">
      <c r="A359" t="s">
        <v>241</v>
      </c>
      <c r="B359">
        <v>100</v>
      </c>
      <c r="C359">
        <v>250</v>
      </c>
      <c r="D359" s="26">
        <v>5</v>
      </c>
      <c r="E359" s="26">
        <v>0.68300000000000005</v>
      </c>
      <c r="F359" s="26">
        <v>33.356000000000002</v>
      </c>
      <c r="G359" s="26">
        <v>26.184999999999999</v>
      </c>
      <c r="H359" s="26">
        <v>2552.06</v>
      </c>
      <c r="I359" s="26">
        <v>204.17</v>
      </c>
      <c r="J359" s="26">
        <v>8.75</v>
      </c>
      <c r="K359" s="26">
        <v>258.54000000000002</v>
      </c>
      <c r="L359" s="26">
        <v>609.34</v>
      </c>
      <c r="M359" s="26">
        <v>121.87</v>
      </c>
      <c r="N359" s="26">
        <v>4.2699999999999996</v>
      </c>
      <c r="O359" s="26">
        <v>135.87</v>
      </c>
      <c r="P359" s="26">
        <v>1586.7</v>
      </c>
      <c r="Q359" s="26">
        <v>232.27</v>
      </c>
    </row>
    <row r="360" spans="1:17" x14ac:dyDescent="0.25">
      <c r="A360" t="s">
        <v>242</v>
      </c>
      <c r="B360">
        <v>100</v>
      </c>
      <c r="C360">
        <v>250</v>
      </c>
      <c r="D360" s="26">
        <v>6</v>
      </c>
      <c r="E360" s="26">
        <v>0.67900000000000005</v>
      </c>
      <c r="F360" s="26">
        <v>39.633000000000003</v>
      </c>
      <c r="G360" s="26">
        <v>31.111999999999998</v>
      </c>
      <c r="H360" s="26">
        <v>2990.14</v>
      </c>
      <c r="I360" s="26">
        <v>239.21</v>
      </c>
      <c r="J360" s="26">
        <v>8.69</v>
      </c>
      <c r="K360" s="26">
        <v>304.89</v>
      </c>
      <c r="L360" s="26">
        <v>708.86</v>
      </c>
      <c r="M360" s="26">
        <v>141.77000000000001</v>
      </c>
      <c r="N360" s="26">
        <v>4.2300000000000004</v>
      </c>
      <c r="O360" s="26">
        <v>159.76</v>
      </c>
      <c r="P360" s="26">
        <v>1856.36</v>
      </c>
      <c r="Q360" s="26">
        <v>274.39999999999998</v>
      </c>
    </row>
    <row r="361" spans="1:17" x14ac:dyDescent="0.25">
      <c r="A361" t="s">
        <v>243</v>
      </c>
      <c r="B361">
        <v>100</v>
      </c>
      <c r="C361">
        <v>250</v>
      </c>
      <c r="D361" s="26">
        <v>8</v>
      </c>
      <c r="E361" s="26">
        <v>0.67300000000000004</v>
      </c>
      <c r="F361" s="26">
        <v>51.792000000000002</v>
      </c>
      <c r="G361" s="26">
        <v>40.656999999999996</v>
      </c>
      <c r="H361" s="26">
        <v>3797.45</v>
      </c>
      <c r="I361" s="26">
        <v>303.8</v>
      </c>
      <c r="J361" s="26">
        <v>8.56</v>
      </c>
      <c r="K361" s="26">
        <v>392.39</v>
      </c>
      <c r="L361" s="26">
        <v>887.39</v>
      </c>
      <c r="M361" s="26">
        <v>177.48</v>
      </c>
      <c r="N361" s="26">
        <v>4.1399999999999997</v>
      </c>
      <c r="O361" s="26">
        <v>204.37</v>
      </c>
      <c r="P361" s="26">
        <v>2348.2399999999998</v>
      </c>
      <c r="Q361" s="26">
        <v>354.25</v>
      </c>
    </row>
    <row r="362" spans="1:17" x14ac:dyDescent="0.25">
      <c r="A362" t="s">
        <v>244</v>
      </c>
      <c r="B362">
        <v>100</v>
      </c>
      <c r="C362">
        <v>250</v>
      </c>
      <c r="D362" s="26">
        <v>10</v>
      </c>
      <c r="E362" s="26">
        <v>0.66600000000000004</v>
      </c>
      <c r="F362" s="26">
        <v>63.424999999999997</v>
      </c>
      <c r="G362" s="26">
        <v>49.787999999999997</v>
      </c>
      <c r="H362" s="26">
        <v>4515.84</v>
      </c>
      <c r="I362" s="26">
        <v>361.27</v>
      </c>
      <c r="J362" s="26">
        <v>8.44</v>
      </c>
      <c r="K362" s="26">
        <v>473.04</v>
      </c>
      <c r="L362" s="26">
        <v>1040.04</v>
      </c>
      <c r="M362" s="26">
        <v>208.01</v>
      </c>
      <c r="N362" s="26">
        <v>4.05</v>
      </c>
      <c r="O362" s="26">
        <v>244.89</v>
      </c>
      <c r="P362" s="26">
        <v>2777.28</v>
      </c>
      <c r="Q362" s="26">
        <v>428.14</v>
      </c>
    </row>
    <row r="363" spans="1:17" x14ac:dyDescent="0.25">
      <c r="A363" t="s">
        <v>245</v>
      </c>
      <c r="B363">
        <v>100</v>
      </c>
      <c r="C363">
        <v>250</v>
      </c>
      <c r="D363" s="26">
        <v>12</v>
      </c>
      <c r="E363" s="26">
        <v>0.65900000000000003</v>
      </c>
      <c r="F363" s="26">
        <v>74.531999999999996</v>
      </c>
      <c r="G363" s="26">
        <v>58.506999999999998</v>
      </c>
      <c r="H363" s="26">
        <v>5148.71</v>
      </c>
      <c r="I363" s="26">
        <v>411.9</v>
      </c>
      <c r="J363" s="26">
        <v>8.31</v>
      </c>
      <c r="K363" s="26">
        <v>546.98</v>
      </c>
      <c r="L363" s="26">
        <v>1168.54</v>
      </c>
      <c r="M363" s="26">
        <v>233.71</v>
      </c>
      <c r="N363" s="26">
        <v>3.96</v>
      </c>
      <c r="O363" s="26">
        <v>281.45</v>
      </c>
      <c r="P363" s="26">
        <v>3144.11</v>
      </c>
      <c r="Q363" s="26">
        <v>495.98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93C3-4410-429B-BD27-922E1ACEC638}">
  <dimension ref="B1:H40"/>
  <sheetViews>
    <sheetView workbookViewId="0">
      <selection activeCell="C33" sqref="C33"/>
    </sheetView>
  </sheetViews>
  <sheetFormatPr defaultRowHeight="15" x14ac:dyDescent="0.25"/>
  <cols>
    <col min="2" max="2" width="17.28515625" customWidth="1"/>
    <col min="3" max="3" width="34.140625" customWidth="1"/>
  </cols>
  <sheetData>
    <row r="1" spans="2:8" x14ac:dyDescent="0.25">
      <c r="C1" t="s">
        <v>40</v>
      </c>
      <c r="D1" t="s">
        <v>41</v>
      </c>
    </row>
    <row r="2" spans="2:8" x14ac:dyDescent="0.25">
      <c r="B2" t="s">
        <v>0</v>
      </c>
    </row>
    <row r="3" spans="2:8" x14ac:dyDescent="0.25">
      <c r="B3" t="s">
        <v>1</v>
      </c>
    </row>
    <row r="4" spans="2:8" x14ac:dyDescent="0.25">
      <c r="B4" s="1" t="s">
        <v>2</v>
      </c>
      <c r="C4" t="s">
        <v>42</v>
      </c>
      <c r="D4" s="5" t="s">
        <v>43</v>
      </c>
    </row>
    <row r="5" spans="2:8" ht="18" x14ac:dyDescent="0.35">
      <c r="B5" s="1" t="s">
        <v>3</v>
      </c>
      <c r="C5" t="s">
        <v>44</v>
      </c>
      <c r="D5" s="5" t="s">
        <v>43</v>
      </c>
    </row>
    <row r="6" spans="2:8" ht="18" x14ac:dyDescent="0.35">
      <c r="B6" s="1" t="s">
        <v>4</v>
      </c>
      <c r="C6" t="s">
        <v>45</v>
      </c>
      <c r="D6" s="5" t="s">
        <v>43</v>
      </c>
    </row>
    <row r="7" spans="2:8" ht="18" x14ac:dyDescent="0.35">
      <c r="B7" s="1" t="s">
        <v>5</v>
      </c>
      <c r="C7" t="s">
        <v>46</v>
      </c>
      <c r="D7" s="5" t="s">
        <v>43</v>
      </c>
    </row>
    <row r="8" spans="2:8" ht="18" x14ac:dyDescent="0.35">
      <c r="B8" s="1" t="s">
        <v>6</v>
      </c>
      <c r="C8" t="s">
        <v>47</v>
      </c>
      <c r="D8" s="5" t="s">
        <v>43</v>
      </c>
    </row>
    <row r="9" spans="2:8" ht="18" x14ac:dyDescent="0.35">
      <c r="B9" s="1" t="s">
        <v>7</v>
      </c>
      <c r="C9" t="s">
        <v>48</v>
      </c>
      <c r="D9" s="5" t="s">
        <v>43</v>
      </c>
    </row>
    <row r="10" spans="2:8" x14ac:dyDescent="0.25">
      <c r="B10" t="s">
        <v>8</v>
      </c>
      <c r="C10" t="s">
        <v>49</v>
      </c>
      <c r="D10" s="6" t="s">
        <v>33</v>
      </c>
    </row>
    <row r="11" spans="2:8" x14ac:dyDescent="0.25">
      <c r="B11" t="s">
        <v>9</v>
      </c>
      <c r="C11" t="s">
        <v>50</v>
      </c>
      <c r="D11" s="6" t="s">
        <v>33</v>
      </c>
    </row>
    <row r="12" spans="2:8" ht="17.25" x14ac:dyDescent="0.25">
      <c r="B12" s="2" t="s">
        <v>10</v>
      </c>
      <c r="C12" t="s">
        <v>51</v>
      </c>
      <c r="D12" s="5" t="s">
        <v>52</v>
      </c>
    </row>
    <row r="13" spans="2:8" x14ac:dyDescent="0.25">
      <c r="B13" s="2" t="s">
        <v>11</v>
      </c>
      <c r="C13" t="s">
        <v>11</v>
      </c>
      <c r="D13" s="5" t="s">
        <v>53</v>
      </c>
    </row>
    <row r="14" spans="2:8" ht="18" x14ac:dyDescent="0.25">
      <c r="B14" s="3" t="s">
        <v>12</v>
      </c>
      <c r="C14" t="s">
        <v>54</v>
      </c>
      <c r="D14" s="5" t="s">
        <v>55</v>
      </c>
      <c r="H14">
        <f>90+35</f>
        <v>125</v>
      </c>
    </row>
    <row r="15" spans="2:8" ht="18" x14ac:dyDescent="0.25">
      <c r="B15" s="3" t="s">
        <v>13</v>
      </c>
      <c r="C15" t="s">
        <v>56</v>
      </c>
      <c r="D15" s="5" t="s">
        <v>57</v>
      </c>
    </row>
    <row r="16" spans="2:8" ht="18" x14ac:dyDescent="0.25">
      <c r="B16" s="3" t="s">
        <v>14</v>
      </c>
      <c r="C16" t="s">
        <v>58</v>
      </c>
      <c r="D16" s="5" t="s">
        <v>59</v>
      </c>
    </row>
    <row r="17" spans="2:4" ht="18" x14ac:dyDescent="0.25">
      <c r="B17" s="3" t="s">
        <v>15</v>
      </c>
      <c r="C17" t="s">
        <v>60</v>
      </c>
      <c r="D17" s="5" t="s">
        <v>57</v>
      </c>
    </row>
    <row r="18" spans="2:4" ht="18" x14ac:dyDescent="0.25">
      <c r="B18" s="3" t="s">
        <v>16</v>
      </c>
      <c r="C18" t="s">
        <v>61</v>
      </c>
      <c r="D18" s="5" t="s">
        <v>57</v>
      </c>
    </row>
    <row r="19" spans="2:4" ht="18" x14ac:dyDescent="0.25">
      <c r="B19" s="3" t="s">
        <v>17</v>
      </c>
      <c r="C19" t="s">
        <v>54</v>
      </c>
      <c r="D19" s="5" t="s">
        <v>55</v>
      </c>
    </row>
    <row r="20" spans="2:4" ht="18" x14ac:dyDescent="0.25">
      <c r="B20" s="3" t="s">
        <v>18</v>
      </c>
      <c r="C20" t="s">
        <v>56</v>
      </c>
      <c r="D20" s="5" t="s">
        <v>57</v>
      </c>
    </row>
    <row r="21" spans="2:4" ht="18" x14ac:dyDescent="0.25">
      <c r="B21" s="3" t="s">
        <v>19</v>
      </c>
      <c r="C21" t="s">
        <v>58</v>
      </c>
      <c r="D21" s="5" t="s">
        <v>59</v>
      </c>
    </row>
    <row r="22" spans="2:4" ht="18" x14ac:dyDescent="0.25">
      <c r="B22" s="3" t="s">
        <v>20</v>
      </c>
      <c r="C22" t="s">
        <v>60</v>
      </c>
      <c r="D22" s="5" t="s">
        <v>57</v>
      </c>
    </row>
    <row r="23" spans="2:4" ht="18" x14ac:dyDescent="0.25">
      <c r="B23" s="3" t="s">
        <v>21</v>
      </c>
      <c r="C23" t="s">
        <v>62</v>
      </c>
      <c r="D23" s="5" t="s">
        <v>57</v>
      </c>
    </row>
    <row r="24" spans="2:4" ht="18" x14ac:dyDescent="0.25">
      <c r="B24" s="3" t="s">
        <v>22</v>
      </c>
      <c r="C24" t="s">
        <v>61</v>
      </c>
      <c r="D24" s="5" t="s">
        <v>57</v>
      </c>
    </row>
    <row r="25" spans="2:4" ht="18" x14ac:dyDescent="0.25">
      <c r="B25" s="3" t="s">
        <v>23</v>
      </c>
      <c r="C25" t="s">
        <v>63</v>
      </c>
      <c r="D25" s="5" t="s">
        <v>43</v>
      </c>
    </row>
    <row r="26" spans="2:4" ht="18" x14ac:dyDescent="0.25">
      <c r="B26" s="3" t="s">
        <v>24</v>
      </c>
      <c r="C26" t="s">
        <v>64</v>
      </c>
      <c r="D26" s="5" t="s">
        <v>43</v>
      </c>
    </row>
    <row r="27" spans="2:4" ht="18" x14ac:dyDescent="0.25">
      <c r="B27" s="3" t="s">
        <v>25</v>
      </c>
      <c r="C27" t="s">
        <v>65</v>
      </c>
      <c r="D27" s="5" t="s">
        <v>43</v>
      </c>
    </row>
    <row r="28" spans="2:4" ht="18" x14ac:dyDescent="0.25">
      <c r="B28" s="3" t="s">
        <v>26</v>
      </c>
      <c r="C28" t="s">
        <v>66</v>
      </c>
      <c r="D28" s="5" t="s">
        <v>43</v>
      </c>
    </row>
    <row r="29" spans="2:4" x14ac:dyDescent="0.25">
      <c r="B29" s="3" t="s">
        <v>75</v>
      </c>
      <c r="C29" t="s">
        <v>67</v>
      </c>
      <c r="D29" s="5" t="s">
        <v>43</v>
      </c>
    </row>
    <row r="30" spans="2:4" ht="17.25" x14ac:dyDescent="0.25">
      <c r="B30" s="4" t="s">
        <v>27</v>
      </c>
      <c r="C30" t="s">
        <v>68</v>
      </c>
      <c r="D30" s="5" t="s">
        <v>55</v>
      </c>
    </row>
    <row r="31" spans="2:4" ht="17.25" x14ac:dyDescent="0.25">
      <c r="B31" t="s">
        <v>28</v>
      </c>
      <c r="C31" t="s">
        <v>69</v>
      </c>
      <c r="D31" s="5" t="s">
        <v>70</v>
      </c>
    </row>
    <row r="32" spans="2:4" x14ac:dyDescent="0.25">
      <c r="B32" t="s">
        <v>29</v>
      </c>
      <c r="C32" t="s">
        <v>71</v>
      </c>
      <c r="D32" s="5" t="s">
        <v>72</v>
      </c>
    </row>
    <row r="33" spans="2:4" ht="17.25" x14ac:dyDescent="0.25">
      <c r="B33" t="s">
        <v>30</v>
      </c>
      <c r="C33" t="s">
        <v>71</v>
      </c>
      <c r="D33" s="5" t="s">
        <v>73</v>
      </c>
    </row>
    <row r="34" spans="2:4" x14ac:dyDescent="0.25">
      <c r="B34" t="s">
        <v>76</v>
      </c>
    </row>
    <row r="35" spans="2:4" x14ac:dyDescent="0.25">
      <c r="B35" t="s">
        <v>77</v>
      </c>
    </row>
    <row r="36" spans="2:4" x14ac:dyDescent="0.25">
      <c r="B36" t="s">
        <v>78</v>
      </c>
    </row>
    <row r="37" spans="2:4" x14ac:dyDescent="0.25">
      <c r="B37" t="s">
        <v>79</v>
      </c>
    </row>
    <row r="38" spans="2:4" x14ac:dyDescent="0.25">
      <c r="B38" s="4" t="s">
        <v>81</v>
      </c>
    </row>
    <row r="39" spans="2:4" x14ac:dyDescent="0.25">
      <c r="B39" s="4" t="s">
        <v>82</v>
      </c>
    </row>
    <row r="40" spans="2:4" x14ac:dyDescent="0.25">
      <c r="B40" s="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TABLA</vt:lpstr>
      <vt:lpstr>Sheet1</vt:lpstr>
      <vt:lpstr>Descripcion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Agustín Diez</dc:creator>
  <cp:keywords/>
  <dc:description/>
  <cp:lastModifiedBy>Agustin Diez - 348 - AGD</cp:lastModifiedBy>
  <cp:revision/>
  <dcterms:created xsi:type="dcterms:W3CDTF">2021-02-02T19:30:44Z</dcterms:created>
  <dcterms:modified xsi:type="dcterms:W3CDTF">2026-02-26T20:44:18Z</dcterms:modified>
  <cp:category/>
  <cp:contentStatus/>
</cp:coreProperties>
</file>